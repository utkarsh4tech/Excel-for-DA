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0380B12E-E9AB-4748-8A8D-CE2089590C96}" xr6:coauthVersionLast="47" xr6:coauthVersionMax="47" xr10:uidLastSave="{00000000-0000-0000-0000-000000000000}"/>
  <bookViews>
    <workbookView xWindow="0" yWindow="600" windowWidth="28800" windowHeight="17400" activeTab="3" xr2:uid="{2DB0D99C-D0EA-554B-AB8A-01A4483518E8}"/>
  </bookViews>
  <sheets>
    <sheet name="agenda" sheetId="1" r:id="rId1"/>
    <sheet name="Sheet2" sheetId="2" r:id="rId2"/>
    <sheet name="Sheet3" sheetId="3" r:id="rId3"/>
    <sheet name="Sheet4" sheetId="4" r:id="rId4"/>
  </sheets>
  <definedNames>
    <definedName name="solver_eng" localSheetId="2" hidden="1">1</definedName>
    <definedName name="solver_lin" localSheetId="2" hidden="1">2</definedName>
    <definedName name="solver_neg" localSheetId="2" hidden="1">1</definedName>
    <definedName name="solver_num" localSheetId="2" hidden="1">0</definedName>
    <definedName name="solver_opt" localSheetId="2" hidden="1">Sheet3!$G$11</definedName>
    <definedName name="solver_typ" localSheetId="2" hidden="1">2</definedName>
    <definedName name="solver_val" localSheetId="2" hidden="1">0</definedName>
    <definedName name="solver_ver" localSheetId="2" hidden="1">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" i="4" l="1"/>
  <c r="E61" i="4"/>
  <c r="C152" i="2" a="1"/>
  <c r="C152" i="2" s="1"/>
  <c r="C153" i="2" a="1"/>
  <c r="C153" i="2" s="1"/>
  <c r="C154" i="2" a="1"/>
  <c r="C154" i="2" s="1"/>
  <c r="C155" i="2" a="1"/>
  <c r="C155" i="2" s="1"/>
  <c r="C156" i="2" a="1"/>
  <c r="C156" i="2" s="1"/>
  <c r="C157" i="2" a="1"/>
  <c r="C157" i="2" s="1"/>
  <c r="C158" i="2" a="1"/>
  <c r="C158" i="2" s="1"/>
  <c r="C159" i="2" a="1"/>
  <c r="C159" i="2"/>
  <c r="C160" i="2" a="1"/>
  <c r="C160" i="2" s="1"/>
  <c r="C151" i="2" a="1"/>
  <c r="C151" i="2" s="1"/>
  <c r="F143" i="2" a="1"/>
  <c r="F143" i="2" s="1"/>
  <c r="F138" i="2" a="1"/>
  <c r="F138" i="2" s="1"/>
  <c r="F144" i="2" a="1"/>
  <c r="F144" i="2" s="1"/>
  <c r="F145" i="2" a="1"/>
  <c r="F145" i="2" s="1"/>
  <c r="F146" i="2" a="1"/>
  <c r="F146" i="2" s="1"/>
  <c r="F147" i="2" a="1"/>
  <c r="F147" i="2" s="1"/>
  <c r="F142" i="2" a="1"/>
  <c r="F142" i="2" s="1"/>
  <c r="F139" i="2" a="1"/>
  <c r="F139" i="2" s="1"/>
  <c r="F140" i="2" a="1"/>
  <c r="F140" i="2"/>
  <c r="F141" i="2" a="1"/>
  <c r="F141" i="2"/>
  <c r="C129" i="2"/>
  <c r="E129" i="2"/>
  <c r="D115" i="2"/>
  <c r="G115" i="2"/>
  <c r="F116" i="2"/>
  <c r="G116" i="2"/>
  <c r="F117" i="2"/>
  <c r="G117" i="2"/>
  <c r="F118" i="2"/>
  <c r="G118" i="2"/>
  <c r="F115" i="2"/>
  <c r="D116" i="2"/>
  <c r="D117" i="2"/>
  <c r="D118" i="2"/>
  <c r="B124" i="2"/>
  <c r="C126" i="2" s="1"/>
  <c r="C115" i="2"/>
  <c r="C118" i="2"/>
  <c r="C117" i="2"/>
  <c r="C116" i="2"/>
  <c r="D107" i="2"/>
  <c r="D106" i="2"/>
  <c r="E31" i="2"/>
  <c r="F71" i="2"/>
  <c r="F92" i="2"/>
  <c r="F88" i="2"/>
  <c r="F89" i="2"/>
  <c r="F90" i="2"/>
  <c r="F91" i="2"/>
  <c r="F93" i="2"/>
  <c r="F94" i="2"/>
  <c r="F95" i="2"/>
  <c r="F96" i="2"/>
  <c r="F87" i="2"/>
  <c r="I71" i="2"/>
  <c r="I72" i="2"/>
  <c r="I73" i="2"/>
  <c r="I74" i="2"/>
  <c r="I75" i="2"/>
  <c r="I76" i="2"/>
  <c r="I77" i="2"/>
  <c r="I78" i="2"/>
  <c r="I79" i="2"/>
  <c r="I80" i="2"/>
  <c r="C24" i="2"/>
  <c r="F72" i="2"/>
  <c r="F73" i="2"/>
  <c r="F74" i="2"/>
  <c r="F75" i="2"/>
  <c r="F76" i="2"/>
  <c r="F77" i="2"/>
  <c r="F78" i="2"/>
  <c r="F79" i="2"/>
  <c r="F80" i="2"/>
  <c r="B66" i="2"/>
  <c r="C43" i="2"/>
  <c r="C44" i="2"/>
  <c r="C25" i="2"/>
  <c r="C26" i="2"/>
  <c r="C27" i="2"/>
  <c r="C28" i="2"/>
  <c r="C29" i="2"/>
  <c r="C30" i="2"/>
  <c r="C31" i="2"/>
  <c r="C32" i="2"/>
  <c r="C33" i="2"/>
  <c r="E126" i="2"/>
  <c r="E124" i="2"/>
  <c r="F106" i="2"/>
  <c r="E24" i="2"/>
  <c r="D66" i="2"/>
  <c r="E43" i="2"/>
  <c r="C124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<sst xmlns="http://schemas.openxmlformats.org/spreadsheetml/2006/main" count="194" uniqueCount="152">
  <si>
    <t>Logical Functions</t>
  </si>
  <si>
    <t>1) What is Boolean</t>
  </si>
  <si>
    <t>BOOLEANS</t>
  </si>
  <si>
    <t>is a type of data (flag)</t>
  </si>
  <si>
    <t>where we have only two possible val</t>
  </si>
  <si>
    <t>TRUE and FALSE</t>
  </si>
  <si>
    <t>2)</t>
  </si>
  <si>
    <t>CONDITIONAL checking</t>
  </si>
  <si>
    <t>3) IF / IFERROR</t>
  </si>
  <si>
    <t>IF</t>
  </si>
  <si>
    <t>CHECK a condition</t>
  </si>
  <si>
    <t>AGE</t>
  </si>
  <si>
    <t>is_adult</t>
  </si>
  <si>
    <t>LOGICAL CONDITION TO CHECK and O/P is on the basis of T/F</t>
  </si>
  <si>
    <t xml:space="preserve">NESTED IF </t>
  </si>
  <si>
    <t>IFERROR</t>
  </si>
  <si>
    <t>n1</t>
  </si>
  <si>
    <t>n2</t>
  </si>
  <si>
    <t>quo</t>
  </si>
  <si>
    <t>it catches a error if any, and show a custom error message</t>
  </si>
  <si>
    <t>AND OR NOT</t>
  </si>
  <si>
    <t>4)</t>
  </si>
  <si>
    <t>Different ways to combine multiple conditions</t>
  </si>
  <si>
    <t>C1</t>
  </si>
  <si>
    <t>C2</t>
  </si>
  <si>
    <t>C3</t>
  </si>
  <si>
    <t>AND</t>
  </si>
  <si>
    <t>The output will be TRUE only when all the i/p conditions are TRUE</t>
  </si>
  <si>
    <t>STATE</t>
  </si>
  <si>
    <t>Salary</t>
  </si>
  <si>
    <t>MH</t>
  </si>
  <si>
    <t>UP</t>
  </si>
  <si>
    <t>BH</t>
  </si>
  <si>
    <t>PU</t>
  </si>
  <si>
    <t>TN</t>
  </si>
  <si>
    <t>AGE&gt;=18 and STATE is MH</t>
  </si>
  <si>
    <t>OR</t>
  </si>
  <si>
    <t>NOT</t>
  </si>
  <si>
    <t>O/P is true when all i/p condition ( LT ) are TRUE</t>
  </si>
  <si>
    <t>O/P is True when any of the i/p Condition ( LT ) is/Are TRUE</t>
  </si>
  <si>
    <t>ATLEAST ONE needs to be TRUE</t>
  </si>
  <si>
    <t>AGE&gt;=18 OR STATE is MH or SALARY &gt; 5000</t>
  </si>
  <si>
    <t>UNARY ( only 1 i/p)</t>
  </si>
  <si>
    <t>just reverse true to false and vice versa</t>
  </si>
  <si>
    <t>i/p</t>
  </si>
  <si>
    <t>o/p</t>
  </si>
  <si>
    <t xml:space="preserve"> ISBLANK/ISNUMBER/ISTEXT/ISODD/ISEVEN</t>
  </si>
  <si>
    <t>STARTING WITH "IS"</t>
  </si>
  <si>
    <t>ISBLANK</t>
  </si>
  <si>
    <t>CHECK if the i/p is blank or not</t>
  </si>
  <si>
    <t xml:space="preserve">isNumber </t>
  </si>
  <si>
    <t>i/p is Number or not</t>
  </si>
  <si>
    <t>istext</t>
  </si>
  <si>
    <t>i/p is text</t>
  </si>
  <si>
    <t>iseven</t>
  </si>
  <si>
    <t>isodd</t>
  </si>
  <si>
    <t>i/p is even or not</t>
  </si>
  <si>
    <t>i/p is odd or not</t>
  </si>
  <si>
    <t>isformula</t>
  </si>
  <si>
    <t>i/p is a formul or not</t>
  </si>
  <si>
    <t xml:space="preserve">EMPTY SPACE </t>
  </si>
  <si>
    <t>IFS</t>
  </si>
  <si>
    <t>Marks</t>
  </si>
  <si>
    <t>&gt;=90</t>
  </si>
  <si>
    <t>A+</t>
  </si>
  <si>
    <t>&gt;=80</t>
  </si>
  <si>
    <t>&gt;=70</t>
  </si>
  <si>
    <t>A</t>
  </si>
  <si>
    <t>B</t>
  </si>
  <si>
    <t>&gt;=60</t>
  </si>
  <si>
    <t>C</t>
  </si>
  <si>
    <t>&gt;=50</t>
  </si>
  <si>
    <t>D</t>
  </si>
  <si>
    <t>E</t>
  </si>
  <si>
    <t>&lt;50</t>
  </si>
  <si>
    <t>Hypothesis testing</t>
  </si>
  <si>
    <t>A/B testing</t>
  </si>
  <si>
    <t>1) Regression</t>
  </si>
  <si>
    <t>2) testing</t>
  </si>
  <si>
    <t>T test with 2 samples ---&gt; A/B testing</t>
  </si>
  <si>
    <t>YearsExperience,Salary</t>
  </si>
  <si>
    <t>1.1,39343.00</t>
  </si>
  <si>
    <t>1.3,46205.00</t>
  </si>
  <si>
    <t>1.5,37731.00</t>
  </si>
  <si>
    <t>2.0,43525.00</t>
  </si>
  <si>
    <t>2.2,39891.00</t>
  </si>
  <si>
    <t>2.9,56642.00</t>
  </si>
  <si>
    <t>3.0,60150.00</t>
  </si>
  <si>
    <t>3.2,54445.00</t>
  </si>
  <si>
    <t>3.2,64445.00</t>
  </si>
  <si>
    <t>3.7,57189.00</t>
  </si>
  <si>
    <t>3.9,63218.00</t>
  </si>
  <si>
    <t>4.0,55794.00</t>
  </si>
  <si>
    <t>4.0,56957.00</t>
  </si>
  <si>
    <t>4.1,57081.00</t>
  </si>
  <si>
    <t>4.5,61111.00</t>
  </si>
  <si>
    <t>4.9,67938.00</t>
  </si>
  <si>
    <t>5.1,66029.00</t>
  </si>
  <si>
    <t>5.3,83088.00</t>
  </si>
  <si>
    <t>5.9,81363.00</t>
  </si>
  <si>
    <t>6.0,93940.00</t>
  </si>
  <si>
    <t>6.8,91738.00</t>
  </si>
  <si>
    <t>7.1,98273.00</t>
  </si>
  <si>
    <t>7.9,101302.00</t>
  </si>
  <si>
    <t>8.2,113812.00</t>
  </si>
  <si>
    <t>8.7,109431.00</t>
  </si>
  <si>
    <t>9.0,105582.00</t>
  </si>
  <si>
    <t>9.5,116969.00</t>
  </si>
  <si>
    <t>9.6,112635.00</t>
  </si>
  <si>
    <t>10.3,122391.00</t>
  </si>
  <si>
    <t>10.5,121872.00</t>
  </si>
  <si>
    <t>YearsExperience</t>
  </si>
  <si>
    <t>REGRESSION</t>
  </si>
  <si>
    <t>pedicting a Number ( Y ) using other i/p variables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</si>
  <si>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</si>
  <si>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</si>
  <si>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</si>
  <si>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</si>
  <si>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</si>
  <si>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</si>
  <si>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</si>
  <si>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</si>
  <si>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</si>
  <si>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</si>
  <si>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</si>
  <si>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</si>
  <si>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</si>
  <si>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</si>
  <si>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</si>
  <si>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</si>
  <si>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</si>
  <si>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</si>
  <si>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</si>
  <si>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</si>
  <si>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</si>
  <si>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</si>
  <si>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</si>
  <si>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</si>
  <si>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1) Is there a reln b/w X and Y</t>
  </si>
  <si>
    <t>2) if yes, then Mathematically whats is the EQN</t>
  </si>
  <si>
    <t>3) How good is the Input Variable for prediction of Y</t>
  </si>
  <si>
    <t>Salary = intercept + slope * ( YOE)</t>
  </si>
  <si>
    <t>Y = c + m*x</t>
  </si>
  <si>
    <t>if P value column</t>
  </si>
  <si>
    <t>Then there is NO reln</t>
  </si>
  <si>
    <t>1.14*10^(-20)</t>
  </si>
  <si>
    <t>is &gt;5% or 0.05</t>
  </si>
  <si>
    <t>RELN EXISTS as p-value &lt;= 5% or 0.05</t>
  </si>
  <si>
    <t>100-CONFIDENT</t>
  </si>
  <si>
    <t>with 95% confidence</t>
  </si>
  <si>
    <t>R2</t>
  </si>
  <si>
    <t>95.69% of Variance in Y can be Explained ( captured) using YOE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</si>
</sst>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FFFFFF"/>
      <name val="Arial Unicode MS"/>
      <family val="2"/>
    </font>
    <font>
      <i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0" fontId="2" fillId="2" borderId="1" xfId="0" applyFont="1" applyFill="1" applyBorder="1"/>
    <xf numFmtId="0" fontId="2" fillId="0" borderId="1" xfId="0" applyFont="1" applyBorder="1"/>
    <xf numFmtId="0" fontId="2" fillId="2" borderId="0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0" borderId="1" xfId="0" applyFont="1" applyFill="1" applyBorder="1"/>
    <xf numFmtId="0" fontId="0" fillId="4" borderId="0" xfId="0" applyFill="1"/>
    <xf numFmtId="0" fontId="2" fillId="4" borderId="1" xfId="0" applyFont="1" applyFill="1" applyBorder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2" fillId="0" borderId="0" xfId="0" applyFont="1" applyFill="1" applyBorder="1"/>
    <xf numFmtId="0" fontId="3" fillId="0" borderId="0" xfId="0" applyFont="1"/>
    <xf numFmtId="0" fontId="0" fillId="0" borderId="1" xfId="0" applyBorder="1"/>
    <xf numFmtId="0" fontId="0" fillId="4" borderId="1" xfId="0" applyFill="1" applyBorder="1"/>
    <xf numFmtId="0" fontId="0" fillId="0" borderId="0" xfId="0" applyFill="1" applyBorder="1" applyAlignment="1"/>
    <xf numFmtId="0" fontId="0" fillId="0" borderId="2" xfId="0" applyFill="1" applyBorder="1" applyAlignment="1"/>
    <xf numFmtId="0" fontId="4" fillId="0" borderId="3" xfId="0" applyFont="1" applyFill="1" applyBorder="1" applyAlignment="1">
      <alignment horizontal="center"/>
    </xf>
    <xf numFmtId="0" fontId="4" fillId="0" borderId="3" xfId="0" applyFont="1" applyFill="1" applyBorder="1" applyAlignment="1">
      <alignment horizontal="centerContinuous"/>
    </xf>
    <xf numFmtId="0" fontId="2" fillId="0" borderId="0" xfId="0" applyFont="1"/>
    <xf numFmtId="0" fontId="0" fillId="7" borderId="0" xfId="0" applyFill="1"/>
    <xf numFmtId="0" fontId="4" fillId="8" borderId="3" xfId="0" applyFont="1" applyFill="1" applyBorder="1" applyAlignment="1">
      <alignment horizontal="center"/>
    </xf>
    <xf numFmtId="0" fontId="0" fillId="8" borderId="0" xfId="0" applyFill="1" applyBorder="1" applyAlignment="1"/>
    <xf numFmtId="0" fontId="0" fillId="8" borderId="2" xfId="0" applyFill="1" applyBorder="1" applyAlignment="1"/>
    <xf numFmtId="0" fontId="0" fillId="9" borderId="0" xfId="0" applyFill="1" applyBorder="1" applyAlignment="1"/>
    <xf numFmtId="0" fontId="0" fillId="9" borderId="0" xfId="0" applyFill="1"/>
    <xf numFmtId="0" fontId="0" fillId="8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Sheet4!$C$1</c:f>
              <c:strCache>
                <c:ptCount val="1"/>
                <c:pt idx="0">
                  <c:v>Salary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Sheet4!$B$2:$B$31</c:f>
              <c:numCache>
                <c:formatCode>General</c:formatCode>
                <c:ptCount val="30"/>
                <c:pt idx="0">
                  <c:v>1.1000000000000001</c:v>
                </c:pt>
                <c:pt idx="1">
                  <c:v>1.3</c:v>
                </c:pt>
                <c:pt idx="2">
                  <c:v>1.5</c:v>
                </c:pt>
                <c:pt idx="3">
                  <c:v>2</c:v>
                </c:pt>
                <c:pt idx="4">
                  <c:v>2.2000000000000002</c:v>
                </c:pt>
                <c:pt idx="5">
                  <c:v>2.9</c:v>
                </c:pt>
                <c:pt idx="6">
                  <c:v>3</c:v>
                </c:pt>
                <c:pt idx="7">
                  <c:v>3.2</c:v>
                </c:pt>
                <c:pt idx="8">
                  <c:v>3.2</c:v>
                </c:pt>
                <c:pt idx="9">
                  <c:v>3.7</c:v>
                </c:pt>
                <c:pt idx="10">
                  <c:v>3.9</c:v>
                </c:pt>
                <c:pt idx="11">
                  <c:v>4</c:v>
                </c:pt>
                <c:pt idx="12">
                  <c:v>4</c:v>
                </c:pt>
                <c:pt idx="13">
                  <c:v>4.0999999999999996</c:v>
                </c:pt>
                <c:pt idx="14">
                  <c:v>4.5</c:v>
                </c:pt>
                <c:pt idx="15">
                  <c:v>4.9000000000000004</c:v>
                </c:pt>
                <c:pt idx="16">
                  <c:v>5.0999999999999996</c:v>
                </c:pt>
                <c:pt idx="17">
                  <c:v>5.3</c:v>
                </c:pt>
                <c:pt idx="18">
                  <c:v>5.9</c:v>
                </c:pt>
                <c:pt idx="19">
                  <c:v>6</c:v>
                </c:pt>
                <c:pt idx="20">
                  <c:v>6.8</c:v>
                </c:pt>
                <c:pt idx="21">
                  <c:v>7.1</c:v>
                </c:pt>
                <c:pt idx="22">
                  <c:v>7.9</c:v>
                </c:pt>
                <c:pt idx="23">
                  <c:v>8.1999999999999993</c:v>
                </c:pt>
                <c:pt idx="24">
                  <c:v>8.6999999999999993</c:v>
                </c:pt>
                <c:pt idx="25">
                  <c:v>9</c:v>
                </c:pt>
                <c:pt idx="26">
                  <c:v>9.5</c:v>
                </c:pt>
                <c:pt idx="27">
                  <c:v>9.6</c:v>
                </c:pt>
                <c:pt idx="28">
                  <c:v>10.3</c:v>
                </c:pt>
                <c:pt idx="29">
                  <c:v>10.5</c:v>
                </c:pt>
              </c:numCache>
            </c:numRef>
          </c:xVal>
          <c:yVal>
            <c:numRef>
              <c:f>Sheet4!$C$2:$C$31</c:f>
              <c:numCache>
                <c:formatCode>General</c:formatCode>
                <c:ptCount val="30"/>
                <c:pt idx="0">
                  <c:v>39343</c:v>
                </c:pt>
                <c:pt idx="1">
                  <c:v>46205</c:v>
                </c:pt>
                <c:pt idx="2">
                  <c:v>37731</c:v>
                </c:pt>
                <c:pt idx="3">
                  <c:v>43525</c:v>
                </c:pt>
                <c:pt idx="4">
                  <c:v>39891</c:v>
                </c:pt>
                <c:pt idx="5">
                  <c:v>56642</c:v>
                </c:pt>
                <c:pt idx="6">
                  <c:v>60150</c:v>
                </c:pt>
                <c:pt idx="7">
                  <c:v>54445</c:v>
                </c:pt>
                <c:pt idx="8">
                  <c:v>64445</c:v>
                </c:pt>
                <c:pt idx="9">
                  <c:v>57189</c:v>
                </c:pt>
                <c:pt idx="10">
                  <c:v>63218</c:v>
                </c:pt>
                <c:pt idx="11">
                  <c:v>55794</c:v>
                </c:pt>
                <c:pt idx="12">
                  <c:v>56957</c:v>
                </c:pt>
                <c:pt idx="13">
                  <c:v>57081</c:v>
                </c:pt>
                <c:pt idx="14">
                  <c:v>61111</c:v>
                </c:pt>
                <c:pt idx="15">
                  <c:v>67938</c:v>
                </c:pt>
                <c:pt idx="16">
                  <c:v>66029</c:v>
                </c:pt>
                <c:pt idx="17">
                  <c:v>83088</c:v>
                </c:pt>
                <c:pt idx="18">
                  <c:v>81363</c:v>
                </c:pt>
                <c:pt idx="19">
                  <c:v>93940</c:v>
                </c:pt>
                <c:pt idx="20">
                  <c:v>91738</c:v>
                </c:pt>
                <c:pt idx="21">
                  <c:v>98273</c:v>
                </c:pt>
                <c:pt idx="22">
                  <c:v>101302</c:v>
                </c:pt>
                <c:pt idx="23">
                  <c:v>113812</c:v>
                </c:pt>
                <c:pt idx="24">
                  <c:v>109431</c:v>
                </c:pt>
                <c:pt idx="25">
                  <c:v>105582</c:v>
                </c:pt>
                <c:pt idx="26">
                  <c:v>116969</c:v>
                </c:pt>
                <c:pt idx="27">
                  <c:v>112635</c:v>
                </c:pt>
                <c:pt idx="28">
                  <c:v>122391</c:v>
                </c:pt>
                <c:pt idx="29">
                  <c:v>121872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01-F143-80BD-33488E396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1228223"/>
        <c:axId val="641233151"/>
      </c:scatterChart>
      <c:valAx>
        <c:axId val="641228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233151"/>
        <c:crosses val="autoZero"/>
        <c:crossBetween val="midCat"/>
      </c:valAx>
      <c:valAx>
        <c:axId val="6412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228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customXml" Target="../ink/ink7.xml"/><Relationship Id="rId18" Type="http://schemas.openxmlformats.org/officeDocument/2006/relationships/image" Target="../media/image10.png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7.png"/><Relationship Id="rId17" Type="http://schemas.openxmlformats.org/officeDocument/2006/relationships/customXml" Target="../ink/ink9.xml"/><Relationship Id="rId2" Type="http://schemas.openxmlformats.org/officeDocument/2006/relationships/image" Target="../media/image2.png"/><Relationship Id="rId16" Type="http://schemas.openxmlformats.org/officeDocument/2006/relationships/image" Target="../media/image9.png"/><Relationship Id="rId20" Type="http://schemas.openxmlformats.org/officeDocument/2006/relationships/image" Target="../media/image11.png"/><Relationship Id="rId1" Type="http://schemas.openxmlformats.org/officeDocument/2006/relationships/customXml" Target="../ink/ink1.xml"/><Relationship Id="rId6" Type="http://schemas.openxmlformats.org/officeDocument/2006/relationships/image" Target="../media/image4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10" Type="http://schemas.openxmlformats.org/officeDocument/2006/relationships/image" Target="../media/image6.png"/><Relationship Id="rId19" Type="http://schemas.openxmlformats.org/officeDocument/2006/relationships/customXml" Target="../ink/ink10.xml"/><Relationship Id="rId4" Type="http://schemas.openxmlformats.org/officeDocument/2006/relationships/image" Target="../media/image3.png"/><Relationship Id="rId9" Type="http://schemas.openxmlformats.org/officeDocument/2006/relationships/customXml" Target="../ink/ink5.xml"/><Relationship Id="rId1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ustomXml" Target="../ink/ink14.xml"/><Relationship Id="rId3" Type="http://schemas.openxmlformats.org/officeDocument/2006/relationships/image" Target="../media/image12.png"/><Relationship Id="rId7" Type="http://schemas.openxmlformats.org/officeDocument/2006/relationships/image" Target="../media/image14.png"/><Relationship Id="rId2" Type="http://schemas.openxmlformats.org/officeDocument/2006/relationships/customXml" Target="../ink/ink11.xml"/><Relationship Id="rId1" Type="http://schemas.openxmlformats.org/officeDocument/2006/relationships/chart" Target="../charts/chart1.xml"/><Relationship Id="rId6" Type="http://schemas.openxmlformats.org/officeDocument/2006/relationships/customXml" Target="../ink/ink13.xml"/><Relationship Id="rId5" Type="http://schemas.openxmlformats.org/officeDocument/2006/relationships/image" Target="../media/image13.png"/><Relationship Id="rId4" Type="http://schemas.openxmlformats.org/officeDocument/2006/relationships/customXml" Target="../ink/ink12.xml"/><Relationship Id="rId9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635788</xdr:colOff>
      <xdr:row>5</xdr:row>
      <xdr:rowOff>92836</xdr:rowOff>
    </xdr:from>
    <xdr:to>
      <xdr:col>5</xdr:col>
      <xdr:colOff>722843</xdr:colOff>
      <xdr:row>15</xdr:row>
      <xdr:rowOff>51344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B93DD-7210-DCBC-F3D1-1B823439B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33332" y="1114035"/>
          <a:ext cx="911441" cy="20009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230334</xdr:colOff>
      <xdr:row>22</xdr:row>
      <xdr:rowOff>149499</xdr:rowOff>
    </xdr:from>
    <xdr:to>
      <xdr:col>4</xdr:col>
      <xdr:colOff>813534</xdr:colOff>
      <xdr:row>24</xdr:row>
      <xdr:rowOff>53257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3F51E48-48D9-CD25-BB2C-97701B07F807}"/>
                </a:ext>
              </a:extLst>
            </xdr14:cNvPr>
            <xdr14:cNvContentPartPr/>
          </xdr14:nvContentPartPr>
          <xdr14:nvPr macro=""/>
          <xdr14:xfrm>
            <a:off x="3929400" y="4609800"/>
            <a:ext cx="583200" cy="30924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53F51E48-48D9-CD25-BB2C-97701B07F8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923280" y="4603680"/>
              <a:ext cx="595440" cy="321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51709</xdr:colOff>
      <xdr:row>23</xdr:row>
      <xdr:rowOff>192998</xdr:rowOff>
    </xdr:from>
    <xdr:to>
      <xdr:col>5</xdr:col>
      <xdr:colOff>1134829</xdr:colOff>
      <xdr:row>24</xdr:row>
      <xdr:rowOff>82057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E633DA2A-876F-C148-B41C-6B512B594A02}"/>
                </a:ext>
              </a:extLst>
            </xdr14:cNvPr>
            <xdr14:cNvContentPartPr/>
          </xdr14:nvContentPartPr>
          <xdr14:nvPr macro=""/>
          <xdr14:xfrm>
            <a:off x="4577040" y="4856040"/>
            <a:ext cx="1083600" cy="9180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E633DA2A-876F-C148-B41C-6B512B594A0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570920" y="4849920"/>
              <a:ext cx="1095840" cy="10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562909</xdr:colOff>
      <xdr:row>24</xdr:row>
      <xdr:rowOff>182137</xdr:rowOff>
    </xdr:from>
    <xdr:to>
      <xdr:col>5</xdr:col>
      <xdr:colOff>669469</xdr:colOff>
      <xdr:row>25</xdr:row>
      <xdr:rowOff>98916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078D959D-FDEA-AB61-F349-60337DF6419D}"/>
                </a:ext>
              </a:extLst>
            </xdr14:cNvPr>
            <xdr14:cNvContentPartPr/>
          </xdr14:nvContentPartPr>
          <xdr14:nvPr macro=""/>
          <xdr14:xfrm>
            <a:off x="5088240" y="5047920"/>
            <a:ext cx="106560" cy="11952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78D959D-FDEA-AB61-F349-60337DF6419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082120" y="5041800"/>
              <a:ext cx="118800" cy="13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483284</xdr:colOff>
      <xdr:row>23</xdr:row>
      <xdr:rowOff>195518</xdr:rowOff>
    </xdr:from>
    <xdr:to>
      <xdr:col>7</xdr:col>
      <xdr:colOff>660339</xdr:colOff>
      <xdr:row>24</xdr:row>
      <xdr:rowOff>114817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27E2BC9-2D61-900B-90BA-02CB0D3B3FAF}"/>
                </a:ext>
              </a:extLst>
            </xdr14:cNvPr>
            <xdr14:cNvContentPartPr/>
          </xdr14:nvContentPartPr>
          <xdr14:nvPr macro=""/>
          <xdr14:xfrm>
            <a:off x="5834880" y="4858560"/>
            <a:ext cx="1003320" cy="12204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27E2BC9-2D61-900B-90BA-02CB0D3B3FAF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828760" y="4852440"/>
              <a:ext cx="1015560" cy="13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197019</xdr:colOff>
      <xdr:row>25</xdr:row>
      <xdr:rowOff>27276</xdr:rowOff>
    </xdr:from>
    <xdr:to>
      <xdr:col>7</xdr:col>
      <xdr:colOff>306819</xdr:colOff>
      <xdr:row>25</xdr:row>
      <xdr:rowOff>131676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3301BDE8-8511-89E5-0B87-7176FF005947}"/>
                </a:ext>
              </a:extLst>
            </xdr14:cNvPr>
            <xdr14:cNvContentPartPr/>
          </xdr14:nvContentPartPr>
          <xdr14:nvPr macro=""/>
          <xdr14:xfrm>
            <a:off x="6374880" y="5095800"/>
            <a:ext cx="109800" cy="10440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301BDE8-8511-89E5-0B87-7176FF005947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368760" y="5089680"/>
              <a:ext cx="122040" cy="11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621949</xdr:colOff>
      <xdr:row>26</xdr:row>
      <xdr:rowOff>75455</xdr:rowOff>
    </xdr:from>
    <xdr:to>
      <xdr:col>6</xdr:col>
      <xdr:colOff>120794</xdr:colOff>
      <xdr:row>29</xdr:row>
      <xdr:rowOff>37112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22AE7F25-5A6F-B343-E994-2996142BAD65}"/>
                </a:ext>
              </a:extLst>
            </xdr14:cNvPr>
            <xdr14:cNvContentPartPr/>
          </xdr14:nvContentPartPr>
          <xdr14:nvPr macro=""/>
          <xdr14:xfrm>
            <a:off x="5147280" y="5346720"/>
            <a:ext cx="1191240" cy="56988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22AE7F25-5A6F-B343-E994-2996142BAD6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141160" y="5340604"/>
              <a:ext cx="1203480" cy="5821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708402</xdr:colOff>
      <xdr:row>43</xdr:row>
      <xdr:rowOff>2805</xdr:rowOff>
    </xdr:from>
    <xdr:to>
      <xdr:col>5</xdr:col>
      <xdr:colOff>452375</xdr:colOff>
      <xdr:row>44</xdr:row>
      <xdr:rowOff>20946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050FC935-D266-F42B-EAF0-0F4C0AC9E657}"/>
                </a:ext>
              </a:extLst>
            </xdr14:cNvPr>
            <xdr14:cNvContentPartPr/>
          </xdr14:nvContentPartPr>
          <xdr14:nvPr macro=""/>
          <xdr14:xfrm>
            <a:off x="4405680" y="8727480"/>
            <a:ext cx="570600" cy="22104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050FC935-D266-F42B-EAF0-0F4C0AC9E657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4399560" y="8721370"/>
              <a:ext cx="582840" cy="2332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607535</xdr:colOff>
      <xdr:row>43</xdr:row>
      <xdr:rowOff>33765</xdr:rowOff>
    </xdr:from>
    <xdr:to>
      <xdr:col>6</xdr:col>
      <xdr:colOff>81535</xdr:colOff>
      <xdr:row>44</xdr:row>
      <xdr:rowOff>178986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280B7A97-3DF0-0BE3-7CEC-85169E02EDB2}"/>
                </a:ext>
              </a:extLst>
            </xdr14:cNvPr>
            <xdr14:cNvContentPartPr/>
          </xdr14:nvContentPartPr>
          <xdr14:nvPr macro=""/>
          <xdr14:xfrm>
            <a:off x="5131440" y="8758440"/>
            <a:ext cx="1167120" cy="34812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280B7A97-3DF0-0BE3-7CEC-85169E02EDB2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5125318" y="8752326"/>
              <a:ext cx="1179364" cy="36034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615566</xdr:colOff>
      <xdr:row>66</xdr:row>
      <xdr:rowOff>86240</xdr:rowOff>
    </xdr:from>
    <xdr:to>
      <xdr:col>4</xdr:col>
      <xdr:colOff>748821</xdr:colOff>
      <xdr:row>67</xdr:row>
      <xdr:rowOff>190098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B82F18BF-4609-E42C-834D-76B70DFE47F3}"/>
                </a:ext>
              </a:extLst>
            </xdr14:cNvPr>
            <xdr14:cNvContentPartPr/>
          </xdr14:nvContentPartPr>
          <xdr14:nvPr macro=""/>
          <xdr14:xfrm>
            <a:off x="3485880" y="13617720"/>
            <a:ext cx="959040" cy="30888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B82F18BF-4609-E42C-834D-76B70DFE47F3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479760" y="13611600"/>
              <a:ext cx="971280" cy="32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26977</xdr:colOff>
      <xdr:row>133</xdr:row>
      <xdr:rowOff>79058</xdr:rowOff>
    </xdr:from>
    <xdr:to>
      <xdr:col>9</xdr:col>
      <xdr:colOff>404727</xdr:colOff>
      <xdr:row>139</xdr:row>
      <xdr:rowOff>138443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85EB93CC-E1FF-3A68-BCF0-243C8B79ACE3}"/>
                </a:ext>
              </a:extLst>
            </xdr14:cNvPr>
            <xdr14:cNvContentPartPr/>
          </xdr14:nvContentPartPr>
          <xdr14:nvPr macro=""/>
          <xdr14:xfrm>
            <a:off x="7066080" y="27347040"/>
            <a:ext cx="2029320" cy="128952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85EB93CC-E1FF-3A68-BCF0-243C8B79ACE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7059960" y="27340922"/>
              <a:ext cx="2041560" cy="1301757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9</xdr:col>
      <xdr:colOff>453629</xdr:colOff>
      <xdr:row>15</xdr:row>
      <xdr:rowOff>105820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BF9AAB-658D-FA41-B3C1-973AFBAA5C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86960</xdr:colOff>
      <xdr:row>4</xdr:row>
      <xdr:rowOff>120320</xdr:rowOff>
    </xdr:from>
    <xdr:to>
      <xdr:col>9</xdr:col>
      <xdr:colOff>188120</xdr:colOff>
      <xdr:row>13</xdr:row>
      <xdr:rowOff>197000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28E85C98-07E9-A2BA-A63A-83F3CF8CA3A4}"/>
                </a:ext>
              </a:extLst>
            </xdr14:cNvPr>
            <xdr14:cNvContentPartPr/>
          </xdr14:nvContentPartPr>
          <xdr14:nvPr macro=""/>
          <xdr14:xfrm>
            <a:off x="7788240" y="933120"/>
            <a:ext cx="101160" cy="190548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28E85C98-07E9-A2BA-A63A-83F3CF8CA3A4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782120" y="927000"/>
              <a:ext cx="113400" cy="1917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470360</xdr:colOff>
      <xdr:row>3</xdr:row>
      <xdr:rowOff>180240</xdr:rowOff>
    </xdr:from>
    <xdr:to>
      <xdr:col>8</xdr:col>
      <xdr:colOff>713977</xdr:colOff>
      <xdr:row>12</xdr:row>
      <xdr:rowOff>49560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ACD936CF-758C-E91F-E415-B3E31C219594}"/>
                </a:ext>
              </a:extLst>
            </xdr14:cNvPr>
            <xdr14:cNvContentPartPr/>
          </xdr14:nvContentPartPr>
          <xdr14:nvPr macro=""/>
          <xdr14:xfrm>
            <a:off x="4056840" y="789840"/>
            <a:ext cx="4214880" cy="169812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ACD936CF-758C-E91F-E415-B3E31C219594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4050719" y="783720"/>
              <a:ext cx="4227121" cy="171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664060</xdr:colOff>
      <xdr:row>35</xdr:row>
      <xdr:rowOff>152660</xdr:rowOff>
    </xdr:from>
    <xdr:to>
      <xdr:col>8</xdr:col>
      <xdr:colOff>909680</xdr:colOff>
      <xdr:row>45</xdr:row>
      <xdr:rowOff>6960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7D30901F-C6EA-C827-C00C-89AA89D8571A}"/>
                </a:ext>
              </a:extLst>
            </xdr14:cNvPr>
            <xdr14:cNvContentPartPr/>
          </xdr14:nvContentPartPr>
          <xdr14:nvPr macro=""/>
          <xdr14:xfrm>
            <a:off x="5528160" y="7328160"/>
            <a:ext cx="2976120" cy="189900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7D30901F-C6EA-C827-C00C-89AA89D8571A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5522040" y="7322040"/>
              <a:ext cx="2988360" cy="1911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327100</xdr:colOff>
      <xdr:row>45</xdr:row>
      <xdr:rowOff>106320</xdr:rowOff>
    </xdr:from>
    <xdr:to>
      <xdr:col>8</xdr:col>
      <xdr:colOff>426200</xdr:colOff>
      <xdr:row>47</xdr:row>
      <xdr:rowOff>68920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2C4F93A-0EBC-5B7E-4979-975EF301E0F3}"/>
                </a:ext>
              </a:extLst>
            </xdr14:cNvPr>
            <xdr14:cNvContentPartPr/>
          </xdr14:nvContentPartPr>
          <xdr14:nvPr macro=""/>
          <xdr14:xfrm>
            <a:off x="5191200" y="9326520"/>
            <a:ext cx="2829600" cy="36900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2C4F93A-0EBC-5B7E-4979-975EF301E0F3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5185080" y="9320400"/>
              <a:ext cx="2841840" cy="3812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18.53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186 823 24575,'46'-2'0,"2"2"0,6-1 0,18 1 0,6 0 0,15 0 0,2 0 0,-7 0 0,-4 0 0,-17 0 0,-6 0 0,33 0 0,-38 0 0,-12 0 0,-9 0 0,-4 0 0,1 0 0,-2 0 0,1-2 0,1-2 0,2-1 0,3-1 0,1-2 0,-1 1 0,-4 1 0,-7 2 0,-6 1 0,-6 1 0,-4 2 0,-3-2 0,-3 0 0,-2-1 0,-1-3 0,-1-2 0,0-2 0,0-2 0,0-4 0,0-3 0,0-1 0,0-1 0,0 2 0,0 4 0,-1 2 0,1-2 0,-1-7 0,0-16 0,1-12 0,0-10 0,0 0 0,0 8 0,0 10 0,0 14 0,0 11 0,-1 6 0,0 2 0,0-2 0,0-4 0,-2-7 0,-1-5 0,-1 0 0,0 6 0,2 7 0,0 7 0,-1 4 0,0 2 0,-3 1 0,-3 0 0,-9 0 0,-11 0 0,-20 0 0,-27 0 0,27 0 0,-3 0 0,-7-1 0,-1-1 0,1 0 0,1 0 0,3-1 0,3 0 0,-41-2 0,11 1 0,1 1 0,10 0 0,1-1 0,3-2 0,1 1 0,-1 0 0,6 1 0,7 3 0,9 0 0,11 0 0,11 1 0,9 0 0,5 1 0,3 0 0,2 2 0,1 1 0,0 2 0,-1 0 0,0 2 0,-2 1 0,0 1 0,1 0 0,1 1 0,3 1 0,1 2 0,1 2 0,-1 1 0,-1 3 0,0 4 0,-1 4 0,0 6 0,0 7 0,-1 2 0,1 2 0,1-5 0,0-6 0,1-8 0,1-1 0,0 2 0,0 3 0,0 6 0,0-3 0,0-3 0,0-5 0,1-2 0,1-4 0,1-1 0,0 1 0,1 0 0,-1-2 0,0-1 0,-1-2 0,0-3 0,1-2 0,-1-1 0,1-1 0,-1-3 0,1-1 0,1-1 0,2-2 0,5 0 0,5-1 0,8 0 0,6 0 0,4 0 0,1 1 0,-2 1 0,-4 0 0,-8-1 0,-7 1 0,-6 0 0,-4-1 0,-2 0 0,-1 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22.6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55 24575,'8'11'0,"5"4"0,7 4 0,4 3 0,3 0 0,0-3 0,-1-3 0,0-4 0,-1-3 0,1-1 0,2-2 0,3-2 0,2-2 0,4-2 0,0 0 0,1-3 0,2-4 0,1-5 0,5-5 0,4-1 0,3-1 0,0 1 0,-4 3 0,-4 2 0,-6 4 0,-5 3 0,-5 3 0,-3 1 0,-3 2 0,-2-1 0,-1 1 0,0 0 0,-2 0 0,0 2 0,-1 1 0,1 4 0,3 2 0,1 4 0,1 1 0,-2 1 0,-3-1 0,-5-2 0,-5-3 0,-3-1 0,-3-2 0,-1 0 0,-1 0 0,0-1 0,0 1 0,0 0 0,0 0 0,1 1 0,0-1 0,0 1 0,1-2 0,-1-1 0,0-2 0,0-3 0,-1-2 0,0-3 0,0-2 0,0 0 0,0-1 0,0 1 0,0-1 0,0 2 0,0-1 0,1 1 0,-1 0 0,2 0 0,4-2 0,6-3 0,15-7 0,15-8 0,10-2 0,5 1 0,-5 7 0,-10 9 0,-6 5 0,-7 5 0,2 2 0,4 0 0,4 0 0,8 0 0,6 1 0,6 2 0,7 3 0,5 5 0,3 3 0,3 1 0,-2 2 0,-1-1 0,0 1 0,2 1 0,-1-1 0,-4-2 0,-6-1 0,-8-4 0,-5 0 0,-6-2 0,-7 0 0,-4 0 0,-7-1 0,-7-3 0,-6-1 0,-5-3 0,-3 0 0,-1 0 0,0-1 0,0-2 0,0-2 0,1-3 0,0 0 0,-2-1 0,-1 0 0,-2-1 0,0-1 0,-2-2 0,0-3 0,0-3 0,0 0 0,0 3 0,0 4 0,0 7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23.46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24575,'21'0'0,"12"0"0,15 0 0,6 0 0,-2 0 0,-11 0 0,-15 0 0,-12 0 0,-8 0 0</inkml:trace>
  <inkml:trace contextRef="#ctx0" brushRef="#br0" timeOffset="950">108 46 24575,'0'9'0,"0"9"0,0 10 0,0 10 0,0 2 0,0-4 0,0-4 0,0-9 0,0-6 0,0-4 0,0-2 0,0-2 0,0-2 0,1-4 0,-1-1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27.08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0 184 24575,'1'10'0,"6"6"0,12 7 0,13 3 0,15 0 0,8-6 0,4-6 0,3-4 0,1-5 0,2-2 0,-2-2 0,-5-1 0,-4 0 0,-7-2 0,1-3 0,0-4 0,-1-1 0,1-2 0,-7 2 0,-4 1 0,-3 1 0,-2-1 0,3 1 0,2 0 0,4 0 0,4 3 0,3 1 0,1 2 0,-1 1 0,-2 1 0,-4 0 0,-5 1 0,-4 1 0,-5 2 0,-7 2 0,-2 0 0,0 2 0,1 2 0,4 3 0,-1 0 0,-2-1 0,-6-3 0,-5-1 0,-3-2 0,-3-1 0,-1-1 0,-1-2 0,0-4 0,1-7 0,7-12 0,11-12 0,16-8 0,11-4 0,5 5 0,1 7 0,-3 6 0,0 8 0,3 5 0,0 4 0,2 3 0,-3 3 0,-5 1 0,-4 0 0,-5 1 0,-1 2 0,1 0 0,4 0 0,3 0 0,2 2 0,-2 1 0,-4 2 0,-7 0 0,-8-3 0,-6 0 0,-5-2 0,-2 0 0,-2 0 0,-2 0 0,-1-1 0,-2-2 0,-2 0 0,-2-2 0,-1 0 0,-1-1 0,-1 2 0,0-1 0,0 0 0,-1 2 0,1 1 0,0 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28.49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22 78 24575,'0'19'0,"0"6"0,0 7 0,0 4 0,0 0 0,0-8 0,0-8 0,0-9 0,0-7 0,0-5 0,0-5 0,0-5 0,-1-5 0,-2-5 0,0-1 0,-1 0 0,1 0 0,1 0 0,2 1 0,0 3 0,-1 4 0,0 3 0,0 3 0,-1 1 0,1 2 0,1 1 0,3 1 0,6 0 0,10-1 0,10-3 0,11-3 0,5 0 0,0 1 0,-5 2 0,-9 4 0,-10 2 0,-8 0 0,-7 1 0,-3 0 0</inkml:trace>
  <inkml:trace contextRef="#ctx0" brushRef="#br0" timeOffset="1433">112 115 24575,'7'-5'0,"1"-1"0,1 1 0,1 0 0,0 1 0,0 2 0,-2 0 0,0 0 0,-1 0 0,-1 0 0,-2 1 0,-1 0 0,0 1 0,0 0 0,-1 0 0,-1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31.8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32 24575,'45'18'0,"22"15"0,-19-7 0,2 2 0,8 6 0,2 2 0,3 3 0,-1 0 0,-6-3 0,-2-2 0,-7-4 0,-3-2 0,20 13 0,-26-18 0,-15-9 0,-12-8 0,-6-2 0,-3-1 0,-1-2 0,-1 0 0</inkml:trace>
  <inkml:trace contextRef="#ctx0" brushRef="#br0" timeOffset="950">3309 0 24575,'-6'17'0,"-9"15"0,-12 23 0,-9 19 0,-2 7 0,6-9 0,7-13 0,6-13 0,4-13 0,5-9 0,4-12 0,5-8 0</inkml:trace>
  <inkml:trace contextRef="#ctx0" brushRef="#br0" timeOffset="2383">818 817 24575,'0'18'0,"0"14"0,0 22 0,0 10 0,0-1 0,2-11 0,6-16 0,5-13 0,10-12 0,14-8 0,15-3 0,10-4 0,5-7 0,0-12 0,-7-10 0,-4-11 0,-11-4 0,-11 0 0,-9-3 0,-8 4 0,-6 3 0,-6 9 0,-5 11 0,-6 10 0,-5 6 0,-5 4 0,-6 3 0,-5 1 0,-11 0 0,-6 0 0,-8 0 0,-1 0 0,7 0 0,6 0 0,9 0 0,7 0 0,3 1 0,3 3 0,4 0 0,5 1 0,3-1 0,3 1 0,2-1 0,1 1 0,0 0 0,0-2 0,0-1 0</inkml:trace>
  <inkml:trace contextRef="#ctx0" brushRef="#br0" timeOffset="3266">2261 307 24575,'0'15'0,"-2"16"0,-10 29 0,1-13 0,-1 4 0,-4 8 0,-1 1 0,-3 9 0,0 0 0,-1 0 0,1-1 0,1-7 0,0-2 0,2-6 0,1-3 0,-9 30 0,4-11 0,1-3 0,-1-1 0,1-6 0,3-12 0,5-13 0,6-12 0,3-13 0,3-5 0</inkml:trace>
  <inkml:trace contextRef="#ctx0" brushRef="#br0" timeOffset="4716">2374 923 24575,'0'25'0,"0"6"0,0 6 0,0 2 0,0-5 0,0 2 0,0 1 0,0 2 0,0 1 0,0-5 0,1-6 0,2-8 0,-1-10 0,0-10 0,-1-9 0,-2-10 0,0-13 0,-2-15 0,-1-18 0,-2-19 0,1-5 0,2 6 0,2 16 0,1 23 0,3 17 0,4 13 0,7 6 0,9 4 0,8 1 0,4 0 0,1 2 0,-6 0 0,-5 2 0,-7 1 0,-2 5 0,-4 2 0,-1 2 0,-2 0 0,-2 1 0,-2 1 0,-2 3 0,-2 2 0,-3 4 0,-7 3 0,-9 3 0,-11 5 0,-7-1 0,-3-1 0,1-7 0,4-8 0,7-6 0,10-7-1696,6-7 0,7 2 0,2-3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9:53.33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15 24575,'26'0'0,"27"0"0,35 0 0,-27 0 0,5 0 0,11 0 0,2 0 0,0 0 0,0 0 0,0 0 0,-1 0 0,-5 0 0,-3 0 0,-8 0 0,-4 0 0,42 0 0,-18 0 0,-16 0 0,-5 0 0,-3 0 0,-9 2 0,-7 1 0,-9 1 0,-9 0 0,-7-1 0,-6 0 0,-3-1 0,-4 0 0,-4-1 0,-7-1 0,-15-6 0,-15-3 0,-17-2 0,-14 2 0,-9 5 0,-8 4 0,-5 5 0,-5 4 0,-2 3 0,6 2 0,6-4 0,10-4 0,9-4 0,5-1 0,5-1 0,4 0 0,3 0 0,6-3 0,6-1 0,7-1 0,8 1 0,5 2 0,4 0 0,3 0 0,-1 1 0,0 0 0,-1 0 0,-1 0 0,-1 1 0,2 0 0,-1-1 0,1 0 0,-1 0 0,0-2 0,2 2 0,3-2 0,4 2 0,3 1 0</inkml:trace>
  <inkml:trace contextRef="#ctx0" brushRef="#br0" timeOffset="1433">213 236 24575,'6'5'0,"1"3"0,4 5 0,3 8 0,6 7 0,3 5 0,5 6 0,4 2 0,1 2 0,0 0 0,-4-7 0,-6-7 0,-8-9 0,-5-8 0,-5-7 0,-2-3 0,0-6 0,0-6 0,1-10 0,1-10 0,0-6 0,3-3 0,3-2 0,4-2 0,2 0 0,1 2 0,-2 3 0,-3 8 0,-4 6 0,-2 8 0,-3 8 0,-2 3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9:57.9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24575,'12'11'0,"6"2"0,5 5 0,5 1 0,2-2 0,1-2 0,2-2 0,1 0 0,0-2 0,-3 0 0,-3-3 0,-1-2 0,7-4 0,4-1 0,9-1 0,4-4 0,4-5 0,7-7 0,-1-3 0,0-2 0,-2 4 0,-5 2 0,-5 4 0,-6 5 0,-6 4 0,-2 1 0,0 1 0,0 3 0,0 2 0,-4 5 0,-4 2 0,-5 2 0,-5 0 0,-5 0 0,-3-1 0,-2-2 0,-2-1 0,-1-1 0,-2-2 0,0-2 0,0-1 0,0-2 0,0-2 0,0 0 0,0-2 0,0-1 0,0-3 0,2-2 0,8-3 0,12-5 0,15-5 0,16-3 0,12 1 0,9 5 0,1 7 0,-2 5 0,-9 5 0,-12 4 0,-6 6 0,-3 5 0,4 6 0,3-1 0,4 0 0,0-2 0,3 0 0,3 1 0,8-1 0,4-1 0,-2-5 0,-8-5 0,-14-4 0,-13-5 0,-9-5 0,-7-5 0,-4-5 0,-3-2 0,-3 1 0,-5 3 0,-3 5 0,-3 3 0,0 2 0,0 0 0,-1 1 0,-4-1 0,3 3 0,-2 0 0</inkml:trace>
  <inkml:trace contextRef="#ctx0" brushRef="#br0" timeOffset="1666">1265 304 24575,'-13'0'0,"-2"0"0,1 0 0,2 2 0,4 2 0,4 3 0,3 2 0,0 2 0,1-1 0,3-1 0,7 0 0,11 1 0,11 1 0,10 2 0,4-1 0,-1-2 0,-7-3 0,-12-3 0,-11-2 0,-7-3 0,-6 0 0,-8 0 0,-5-1 0,-7 1 0,-5 2 0,-3 2 0,-2 2 0,-1 4 0,3 3 0,4 1 0,4 0 0,7-1 0,5-1 0,3-1 0,2-1 0,1 1 0,0 0 0,1 1 0,0 0 0,2 0 0,1 0 0,0-3 0,1-1 0,-1-1 0,2-2 0,0-1 0,4-2 0,6-1 0,8 0 0,8 0 0,3 0 0,-1 0 0,1 0 0,3-1 0,4-2 0,6-1 0,-2 0 0,-10 2-1696,-12 0 0,-13 2 0,-8 0 0</inkml:trace>
  <inkml:trace contextRef="#ctx0" brushRef="#br0" timeOffset="2750">1699 482 24575,'21'-1'0,"1"0"0,4 3 0,-3 4 0,-5 2 0,-6 2 0,-6-2 0,-4-2 0,-2 0 0,-1-1 0,-3 1 0,-2-2 0,-2-1 0,-2-1 0,0-2 0,0 1 0,1-1 0,2-3 0,3-7 0,2-5 0,1-7 0,2-2 0,2 2 0,4 2 0,5 2 0,4 2 0,2 0 0,0 1 0,-2 2 0,-4 4 0,-7 4 0,-2 3 0</inkml:trace>
  <inkml:trace contextRef="#ctx0" brushRef="#br0" timeOffset="4416">2193 405 24575,'-2'11'0,"1"3"0,1 7 0,0 3 0,0-5 0,0-4 0,0-6 0,0-10 0,0-7 0,0-10 0,0-12 0,0-9 0,0-6 0,0-2 0,0 7 0,0 9 0,0 11 0,1 11 0,0 6 0,1 2 0,2 3 0,3 5 0,6 6 0,6 6 0,8 4 0,3-1 0,1-6 0,-3-5 0,-3-7 0,-5-2 0,-6-4 0,-4-2 0,-3-3 0,-1-5 0,0-2 0,1-1 0,-1 1 0,0 2 0,-1 4 0,-1 4 0,-1 3 0,-2 3 0,0 6 0,0 7 0,4 12 0,4 9 0,5 8 0,2 4 0,0-2 0,-2-6 0,-1-8 0,-3-8 0,-3-9 0,-2-6 0,-3-6 0,-1-1 0</inkml:trace>
  <inkml:trace contextRef="#ctx0" brushRef="#br0" timeOffset="5683">2811 434 24575,'-8'0'0,"-2"0"0,-2 0 0,-1 0 0,4 0 0,3 2 0,4 1 0,3 2 0,1 0 0,3 0 0,2 1 0,3-1 0,3 1 0,2 0 0,2 2 0,0 0 0,-1-2 0,-1-2 0,0-1 0,-3-2 0,-1 1 0,-3 1 0,-2 0 0,-2 1 0,-1 0 0,-3 2 0,-1 0 0,-2 2 0,-4 1 0,-4 0 0,-2-1 0,-5 0 0,-2-1 0,-5 0 0,-3-2 0,-2-3 0,0-1 0,5-1 0,7 0 0,8 0 0,5-1 0,4 1 0</inkml:trace>
  <inkml:trace contextRef="#ctx0" brushRef="#br0" timeOffset="7283">3118 417 24575,'-3'-4'0,"-2"2"0,0 2 0,1 0 0,0 2 0,3 4 0,1 4 0,0 7 0,0 8 0,0 4 0,0 2 0,1-5 0,1-7 0,3-8 0,3-5 0,0-4 0,0-2 0,-1 0 0,1-3 0,1-3 0,1-5 0,1-4 0,-1 0 0,-2 1 0,-2 2 0,-3 2 0,-2 4 0,-2 3 0,-1 1 0,-1 3 0,1 3 0,1 3 0,1 5 0,0 4 0,0 7 0,0 12 0,5 17 0,4 13 0,3 5 0,0-4 0,-4-18 0,-5-15 0,-3-16 0,-6-8 0,-11-4 0,-12-2 0,-11-1 0,-7-1 0,2-1 0,6 0 0,10 0 0,10-1 0,9-1 0,5 1 0,4-1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16:44.41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 94 24575,'-2'-5'0,"1"4"0,0 7 0,1 21 0,0 30 0,10 31 0,3-28 0,4 3 0,8 8 0,5 0 0,4-4 0,3-4 0,-3-9 0,2-5 0,23 10 0,-17-34 0,-11-15 0,-8-11 0,-10-3 0,-6 1 0,-4-2 0</inkml:trace>
  <inkml:trace contextRef="#ctx0" brushRef="#br0" timeOffset="716">971 0 24575,'0'14'0,"14"26"0,28 40 0,-9-27 0,7 2 0,14 9 0,6 0 0,6-5 0,2-4 0,-2-9 0,0-5 0,-4-7 0,-1-6 0,32 4 0,-31-20 0,-29-7 0,-19-5 0</inkml:trace>
  <inkml:trace contextRef="#ctx0" brushRef="#br0" timeOffset="1466">2147 103 24575,'0'22'0,"9"18"0,18 23 0,24 16 0,-17-37 0,3-3 0,2-4 0,3-5 0,37 12 0,-10-21 0,-14-15 0,-16-7 0,-17-4 0,-13 2 0,-4-2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7:12:00.70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1788 352 24575,'10'0'0,"1"0"0,-2-3 0,-2-6 0,-6-9 0,-10-8 0,-11-2 0,-8 6 0,-5 9 0,2 8 0,5 9 0,3 8 0,8 6 0,6 4 0,5-2 0,6-5 0,8-6 0,9-5 0,9-2 0,3-6 0,-1-3 0,-7-4 0,-7-2 0,-6 2 0,-9 3 0,-8 3 0,-10 3 0,-6 1 0,-1 3 0,3 6 0,8 5 0,6 3 0,4-1 0,7-5 0,6-3 0,7-3 0,6-6 0,2-5 0,-2-6 0,-4-3 0,-6-1 0,-6 6 0,-5 4 0,-6 4 0,-3 3 0,-2 3 0,-3 2 0,-1 2 0,-3 2 0,-3 2 0,-2 0 0,-1 5 0,0 5 0,-9 15 0,-17 27 0,12-14 0,-3 5 0,-12 17 0,-2 4 0,13-18 0,-1 1 0,0 0 0,1-1 0,0 0 0,2-2 0,-14 18 0,4-3 0,9-15 0,3-6 0,-10 16 0,17-24 0,17-23 0,8-14 0,3-4 0,1-3 0</inkml:trace>
  <inkml:trace contextRef="#ctx0" brushRef="#br0" timeOffset="1232">1762 436 24575,'3'10'0,"16"18"0,29 35 0,-10-17 0,4 3 0,11 10 0,3 1 0,4 5 0,1 0 0,-3-3 0,0-2 0,-5-5 0,-2-2 0,-6-8 0,-3-1 0,26 25 0,-16-17 0,-18-18 0,-13-13 0,-9-10 0,-4-4 0,-4-4 0,-4-4 0,-1-2 0</inkml:trace>
  <inkml:trace contextRef="#ctx0" brushRef="#br0" timeOffset="3882">357 846 24575,'-3'0'0,"12"0"0,16 0 0,17-1 0,14-4 0,-1-2 0,-12 0 0,-19 1 0,-14 4 0</inkml:trace>
  <inkml:trace contextRef="#ctx0" brushRef="#br0" timeOffset="4749">429 900 24575,'0'32'0,"0"7"0,0 10 0,0 0 0,0-9 0,0-12 0,0-15 0,0-7 0</inkml:trace>
  <inkml:trace contextRef="#ctx0" brushRef="#br0" timeOffset="6699">326 1677 24575,'30'0'0,"28"0"0,-7 0 0,5 0 0,11 0 0,2 0 0,0 0 0,-2 0 0,-8 0 0,-5 0 0,17 0 0,-33 1 0,-23 2 0,-16 3 0,-6 2 0,-2 4 0,1 3 0,0 7 0,1 14 0,3 24 0,2-10 0,2 4 0,-1 11 0,1 3 0,0 5 0,0 0 0,0-7 0,0-3 0,-1 22 0,-2-33 0,-3-29 0,-3-15 0,-4-5 0,-4-3 0,-1 0 0,-4 0 0,-12 0 0,-22 0 0,-30 0 0,25 0 0,-5 0 0,-5 0 0,-2 0 0,-2 0 0,2 0 0,8 0 0,4 0 0,-24 0 0,31-1 0,29-2 0,18-2 0,5-6 0,5-6 0,3-7 0,1-6 0,0-7 0,-2-13 0,-4-18 0,1-25 0,-1 38 0,0-1 0,1-4 0,0 0 0,0 1 0,0 3 0,1-36 0,-2 27 0,0 31 0,1 19 0,1 10 0,2 7 0,2 3 0,3 1 0,4 1 0,4-1 0,3-2 0,1-2 0,-4-1 0,-4 0 0,-4 1 0,-4 0 0,-1 0 0,0-1 0,0-1 0,2 0 0,8 0 0,13 0 0,12 0 0,8 0 0,-5 0 0,-12 0 0,-11 0 0,-12 1 0,-5-1 0,-3 1 0</inkml:trace>
  <inkml:trace contextRef="#ctx0" brushRef="#br0" timeOffset="8049">2789 1443 24575,'0'0'0</inkml:trace>
  <inkml:trace contextRef="#ctx0" brushRef="#br0" timeOffset="8549">2789 1441 24575,'-5'24'0,"-12"28"0,2-7 0,-3 5 0,-5 13 0,-1 3 0,-2 1 0,1 1 0,1-3 0,2-3 0,3-10 0,2-4 0,-11 26 0,8-21 0,7-20 0,6-15 0,2-6 0,3-7 0,1-2 0</inkml:trace>
  <inkml:trace contextRef="#ctx0" brushRef="#br0" timeOffset="9832">2812 1488 24575,'14'1'0,"22"11"0,29 20 0,-17-6 0,3 3 0,9 7 0,2 2 0,1 2 0,0 1 0,-3-1 0,-2 0 0,-5-3 0,-3-1 0,-8-5 0,-2-1 0,23 22 0,-16-12 0,-15-10 0,-8-6 0,-3-5 0,-3-2 0,-4-5 0,-5-4 0,-4-5 0,-4-2 0</inkml:trace>
  <inkml:trace contextRef="#ctx0" brushRef="#br0" timeOffset="13499">2198 2507 24575,'-3'0'0,"16"0"0,26 0 0,33 0 0,22 0 0,3 0 0,-10 0 0,-21 0 0,-18 0 0,-18 0 0,-15 0 0,-7 0 0,-4 2 0,-2 3 0,-4 4 0,-1 4 0,-1 11 0,0 20 0,3 30 0,5-17 0,2 6 0,3 14 0,2 2 0,2 4 0,1 0 0,1-3 0,0-4 0,-3-13 0,-1-4 0,2 23 0,-5-30 0,-6-25 0,-3-17 0,-5-5 0,-5-4 0,-6-1 0,-11 0 0,-20 0 0,-28 0 0,24 0 0,-3 0 0,-7 0 0,-1 0 0,-2 0 0,2 0 0,5 0 0,2 0 0,-29 1 0,25 2 0,26-1 0,19-1 0,10-5 0,8-7 0,3-5 0,2-7 0,-1-10 0,-1-15 0,-2-12 0,-1-14 0,-1-12 0,-1-6 0,1-7 0,-2 3 0,0 8 0,-1 10 0,-2 15 0,0 15 0,0 18 0,1 14 0,1 8 0,-2 6 0,1 1 0,0 1 0</inkml:trace>
  <inkml:trace contextRef="#ctx0" brushRef="#br0" timeOffset="15132">3918 2233 24575,'0'25'0,"-7"36"0,1-12 0,-3 6 0,-3 19 0,-1 5 0,-2 3 0,0 0 0,0-5 0,1-3 0,3-9 0,0-5 0,-5 21 0,5-24 0,4-25 0,3-15 0,3-9 0,0-5 0</inkml:trace>
  <inkml:trace contextRef="#ctx0" brushRef="#br0" timeOffset="16166">3992 2341 24575,'15'15'0,"47"37"0,5 1 0,12 8-425,-12-8 1,4 3-1,2 0 425,5 5 0,2 1 0,-2-1 0,-4-3 0,-2-1 0,-3-2 0,-13-10 0,-3-2 0,-3-1 208,12 8 0,-5-4-208,-12-9 0,-5-3 211,12 8-211,-22-17 0,-13-10 0,-9-7 161,-4-3 1,-2-2 0,-2-2 0</inkml:trace>
  <inkml:trace contextRef="#ctx0" brushRef="#br0" timeOffset="17933">3884 2177 24575,'-4'0'0,"15"0"0,8 0 0,13-3 0,0-6 0,-6-7 0,-10-10 0,-7-4 0,-13-1 0,-14 2 0,-12 7 0,-7 8 0,2 8 0,9 6 0,8 6 0,8 6 0,5 6 0,3 6 0,2 1 0,0 2 0,2-1 0,5-6 0,10-4 0,11-7 0,9-5 0,4-8 0,-1-9 0,-8-13 0,-10-9 0,-11-3 0,-15 4 0,-17 12 0,-13 10 0,-12 10 0,2 13 0,10 9 0,12 8 0,13 4 0,7-6 0,10-6 0,11-7 0,9-7 0,6-3 0,-3-5 0,-7-4 0,-9-2 0,-8-2 0,-8 2 0,-9 5 0,-7 1-1696,-3 2 0,7 0 0,6 0 0</inkml:trace>
  <inkml:trace contextRef="#ctx0" brushRef="#br0" timeOffset="19649">2767 1482 24575,'-3'-4'0,"8"1"0,10 1 0,12-3 0,7-8 0,-3-6 0,-8-8 0,-11-2 0,-18 2 0,-17 5 0,-15 8 0,-6 8 0,2 10 0,8 10 0,10 9 0,7 5 0,8 2 0,5-4 0,3-4 0,2-5 0,6-6 0,11-5 0,10-3 0,8-9 0,-2-8 0,-6-7 0,-8-5 0,-8-1 0,-7 2 0,-13 5 0,-12 7 0,-11 7 0,-7 8 0,5 7 0,9 9 0,11 6 0,8 0 0,8-5 0,11-7 0,10-5 0,9-4 0,-1-2 0,-8-5 0,-9-6 0,-10-3 0,-11-1 0,-10 5 0,-6 5-1696,0 4 0,10 0 0,6 0 0</inkml:trace>
  <inkml:trace contextRef="#ctx0" brushRef="#br0" timeOffset="24433">1987 2 24575,'8'-2'0,"29"13"0,47 24 0,-14-2 0,8 6 0,-12-5 0,4 4 0,2 1-631,8 5 1,2 2 0,1 1 630,-18-11 0,0 2 0,1-1 0,0 0 0,3 2 0,1 0 0,0 0 0,-1-1 0,-2-1 0,0 0 0,-1-1 0,1 0 0,21 11 0,-1 0 0,0-1 0,-4-3 0,-1 1 0,-2-2-58,-8-3 0,-1-1 0,-1 0 58,-1 0 0,-1-1 0,-2 1 0,-5-3 0,-1-1 0,-1 1-8,26 17 0,-1-2 8,-10-4 0,-4-2 0,-8-5 0,-3-1 0,-10-7 0,-3-1 1386,26 19-1386,-4-4 676,-8-5-676,-2 0 19,-3 0-19,-11-6 0,-8-5 0,-12-9 0,-7-6 0,-5-4 0,-3-2 0,-2-2 0,-2-1 0,-2-5 0,-1-3 0,-2-9 0,-5-9 0,-5-11 0,-6-6 0,-2-2 0,3 5 0,4 7 0,2 7 0,2 5 0,2 2 0,1 2 0,2 1 0,1 2 0,0 1 0,1 1 0,0 1 0,-1 0 0,-1 0 0,0 0 0,-1 1 0,0 1 0,0 3 0,2 4 0,2 5 0,5 5 0,5 6 0,4 5 0,2 4 0,0 2 0,-4-1 0,-1-4 0,-4-4 0,-2-6 0,-2-3 0,-1-4 0,0 0 0,-1-1 0,0-2 0,0 0 0,-1-1 0,1 1 0,-1 0 0,0 0 0,-1-1 0,-2-1 0,-8-2 0,-11-1 0,-11 0 0,-8 0 0,-5 0 0,2 1 0,2 1 0,2 4 0,-5 3 0,-7 2 0,-10 1 0,-7 0 0,4-2 0,9-3 0,14-2 0,16-3 0,12-1 0,11-2 0,12-1 0,9-3 0,7-3 0,6 0 0,0-1 0,0 2 0,0 0 0,-1-1 0,3 1 0,9-1 0,9 1 0,9 2 0,5 1 0,-8 3 0,-9 1 0,-14-1 0,-12 0 0,-8 0 0,-5 0 0,-3 0 0,-2-1 0,-2 0 0,-3-4 0,1-4 0,-1-9 0,-1-9 0,-2-9 0,-1-2 0,0 2 0,1 7 0,2 8 0,0 4 0,-1 3 0,-1 0 0,0-3 0,-1-6 0,-2-15 0,-3-13 0,-4-15 0,-1-5 0,1 8 0,3 15 0,4 20 0,3 17 0,2 9 0,1 5 0,0 4 0,0 5 0,0 4 0,0 5 0,0 4 0,0 10 0,2 16 0,6 24 0,5 13 0,5 6 0,1-5 0,-3-19 0,-5-18 0,-6-20 0,-3-16 0,-1-6 0,0-4 0,0-1 0,0 2 0,-1 0 0,0 1 0,0 0 0,0-3 0,0-1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7:27:59.64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281 5293 24575,'0'-30'0,"0"-29"0,0-33 0,0 30 0,0-3 0,0-5 0,0 0 0,0 2 0,0 1 0,0 5 0,0 1 0,0 7 0,0 2 0,0-46 0,0 48 0,0-1 0,0 0 0,0-1 0,0-2 0,0-1 0,0-2 0,0-2 0,0-4 0,0-3 0,0-9 0,0-2 0,0-3 0,0-1 0,0-1 0,0 1 0,0 4 0,0 2 0,0 9 0,0 2 0,0 5 0,0 1 0,0 5 0,0 1 0,0-42 0,0 2 0,0 1 0,0 0 0,-1-3 0,-3 4 0,-3-1 0,-3 1 0,-3 0 0,0 0 0,0 2 0,-1 4 0,1 0 0,0-6 0,6 41 0,-1-2 0,1-2 0,-2-1 0,0-2 0,-1 1 0,0 0 0,1 2 0,-9-43 0,2 10 0,4 17 0,3 17 0,5 14 0,3 13 0,1 8 0,0 5 0,0 1 0,0 0 0,0-5 0,0-7 0,0-13 0,0-20 0,0-15 0,0-9 0,-3 0 0,0 11 0,-1 13 0,-1 16 0,3 14 0,1 11 0,1 5 0,0 0 0,0-1 0,0-4 0,-2-6 0,-2-6 0,-3-2 0,1 2 0,0 10 0,2 10 0,2 13 0,1 12 0,0 8 0,1 19 0,0-24 0,0 6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7:28:02.75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1 623 24575,'8'-3'0,"23"1"0,45 0 0,-12 2 0,10 0 0,-8 0 0,5 0 0,4 0-750,16 0 0,4 0 0,2 0 750,-16 0 0,2 0 0,1 0 0,1 0 0,6 0 0,1 0 0,1 0 0,0 0-356,1 0 1,2 0-1,-1 0 1,0 0 355,-1 0 0,1 0 0,-1 0 0,0 0 0,-1 0 0,-1 0 0,1 0 0,-1 0 0,-3 0 0,1 0 0,-1 0 0,-2 0-263,-5 0 1,0 0 0,-2 0 0,-2 0 262,19 0 0,-2 0 0,-3 0-98,-9 0 0,-3 0 0,-3 0 98,21 0 0,-5 0 705,-10 0 1,-4 0-706,-11 0 0,-2 0 984,-5 0 0,0 0-984,1 0 0,1 0 627,2 0 0,0 0-627,3 0 0,2 0 191,4 0 0,2 0-191,4 0 0,1 0 0,6 0 0,1 0 0,5 0 0,0-1 0,1-1 0,0-1 0,2-1 0,1 1 0,2-1 0,1-1-166,-31 1 0,0 0 0,0 1 166,2 0 0,0 0 0,-1 0 0,2 0 0,0-1 0,0 0 0,-2 1 0,-1 0 0,0 0 0,0 0 0,-1 1 0,-1 0 0,30-2 0,-1 0 0,-7 2 0,-2 0 0,-7 0 0,-3 0 0,-9 1 0,-1 0 0,-2 1 0,1 0 0,-5 0 0,1 0 0,2 0 0,0 0 249,4 0 0,1 0-249,-1 0 0,2-1 0,3 0 0,0-1 0,1-1 0,-1 0 0,1 0 0,-1 0 0,0-1 0,1 0 0,-2 1 0,0 1 0,-2 0 0,-2-1 0,-3 0 0,-2-1 0,-5 1 0,-2 1 0,-4-2 0,-2 0 0,38-4 0,-10 2 0,-8-1 0,-8 1 0,-6 0 0,-12 2 0,-10 2 0,-8 2 0,-7 0 0,-3 0 0,-7 0 0,-6 0 0,-7-4-1696,-7-4 0,6 2 0,-1-1 0</inkml:trace>
  <inkml:trace contextRef="#ctx0" brushRef="#br0" timeOffset="1700">10207 339 24575,'-8'-6'0,"6"2"0,3 1 0,13 0 0,7-5 0,3-8 0,-3-7 0,-10-8 0,-11 4 0,-14 4 0,-12 8 0,-7 10 0,-2 15 0,5 22 0,11 22 0,9 17 0,6 0 0,5-11 0,5-16 0,7-18 0,6-12 0,4-9 0,3-9 0,2-14 0,-4-15 0,-6-14 0,-9-1 0,-11 11 0,-11 14 0,-9 13 0,-5 7 0,3 7 0,7 10 0,8 9 0,5 8 0,3 1 0,2-7 0,4-7 0,4-7 0,5-5 0,6-4 0,1-6 0,1-6 0,-4-4 0,-7-3 0,-8 4 0,-10 3 0,-8 5 0,-6 4 0,0 4 0,5 6 0,6 4 0,6 3 0,2-1 0,2-7 0,0-3 0</inkml:trace>
  <inkml:trace contextRef="#ctx0" brushRef="#br0" timeOffset="4417">405 4716 24575,'27'-3'0,"30"-5"0,-7 1 0,5-4 0,17-6 0,5-5 0,11-6 0,3-4 0,-27 9 0,0-2 0,1-1 0,-2 0 0,-1-1 0,1 0 0,-1 1 0,0 0 0,-1 0 0,1 0 0,0-1 0,0 0 0,1 0 0,1-1 0,0 0 0,-1 1 0,1 1 0,-1-2 0,-2 1 0,0 0 0,0 0 0,25-12 0,-2 2 0,-8 5 0,-1 0 0,0 2 0,-2 1 0,-4 3 0,-2 1 0,-3 3 0,-1 0 0,-3 2 0,-2 0 0,-8 3 0,-2 0 0,38-14 0,-17 3 0,-11 0 0,-3 1 0,5-3 0,19-9 0,-23 14 0,6-3 0,23-12 0,8-4-464,-16 6 1,5-2 0,2-1 463,-17 7 0,2 0 0,0 0 0,-1-1 0,1 0 0,-1 0 0,0 0 0,-1 2 0,13-7 0,-1 1 0,-3 3-46,-11 5 0,-3 3 0,0 1 46,24-9 0,-2 3 0,-5 2 0,1 2 0,4-2 0,2 1 0,-24 8 0,2-1 0,1 0 0,2-2 0,2 0 0,0-1-266,5-1 1,2 0 0,-1-1 265,4-2 0,-1-1 0,1 0 0,2-2 0,1 0 0,-1-2 0,2 0 0,0-2 0,0 0 0,-2-1 0,-1 0 0,0 0 0,-4 1 0,-1 0 0,-2 0 0,-5 4 0,-2 0 0,-2 1 0,23-10 0,-3 2 0,-11 5 0,-3 2 661,-8 4 0,-3 1-661,-5 3 0,-3 1 71,-5 2 0,-1 0-71,35-16 860,-9 4-860,-4 5 0,-6 3 0,0 3 0,3-3 0,3-3 0,7-4 0,1-7 0,2 0 0,-2-3 0,-3 3 0,0 1 0,-2 2 0,0 0 0,-3 3 0,-5 3 0,-8 1 0,-7 1 0,-3 1 0,0-2 0,0 0 0,0-3 0,-3-3 0,0 0 0,1-2 0,4 0 0,6 0 0,5 1 0,8 0 0,7-1 0,7 0 0,7 0 0,4-1 0,-44 20 0,1 0 0,45-17 0,-43 20 0,2 1 0,4 0 0,2 3 0,5-1 0,1 1 0,3 1 0,0 1 0,-3 2 0,-1 0 0,-5 2 0,-1 2 0,40-1 0,-15 2 0,-14 3 0,-14 0 0,-10 0 0,-12-1 0,-9-2 0,-4-2 0,-4-1 0,-6 2 0,-3 1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7:35:50.40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5274 24575,'6'-2'0,"31"-7"0,7-4 0,11-5 0,3-1 0,8-3 0,5-3 0,3-1 0,5-2 0,4-1 0,2-1-819,-4 1 0,3-1 0,2-1 0,2 0 0,0 0 819,-7 3 0,1-1 0,1 0 0,1 0 0,0 0 0,0-1-371,2 0 1,1 0 0,0-1 0,0 0 0,0 1 0,0-1 370,-1 0 0,0 0 0,1-1 0,-1 1 0,1 0 0,-1-1 0,2-1 0,1 0 0,-1 0 0,0 0 0,1-1 0,1 0 0,-11 4 0,0 0 0,1-1 0,0 1 0,0-1 0,1 0 0,0-1-463,2 0 0,1-1 0,0 0 0,0 0 0,0-1 0,0 1 0,0-1 463,1 0 0,0-1 0,1 0 0,-1 0 0,-1 0 0,0 0 0,-1 0 0,8-3 0,-2 0 0,0-1 0,-1 1 0,-1 0 0,-2 0-236,-6 2 1,-1 0 0,-1 0 0,-1 0-1,-2 0 1,-2 0 235,6-4 0,-2 0 0,-2 0 0,-2 0 0,-2-1 229,7-7 0,-4 0 0,-2-1 1,-2-1-230,-5 0 0,-2 0 0,-2-3 0,-3 0 0,12-18 0,-5-1 0,-2-4 0,-14 13 0,-2-2 0,-1-2 0,-1 0 0,-1-3 0,-2-2 0,-1 0 0,0-1 0,0-2 0,-1-1 0,-1 0 0,0 0 0,-4 6 0,0-1 0,-2 2 0,-1 2 725,3-7 0,-2 2 1,0 4-726,10-16 0,-1 8 1870,-10 23 0,-1 7-1870,17-16 2426,-15 30-2426,-11 16 0,-11 9 0,-5 3 0</inkml:trace>
  <inkml:trace contextRef="#ctx0" brushRef="#br0" timeOffset="2032">7967 476 24575,'0'-27'0,"0"-18"0,0-18 0,0-14 0,0-2 0,0 9 0,0 15 0,0 20 0,-1 17 0,-1 12 0,0 5 0,-1 4 0,0 3 0,-2 1 0,-1 3 0,-1 3 0,-2 0 0,1 1 0,-1 0 0,1-1 0,-1 2 0,-1 0 0,1 1 0,-1-1 0,3-3 0,0-1 0,0-1 0,1-2 0,0-1 0,1-1 0,2-4 0,1-4 0,5-7 0,10-9 0,10-11 0,8-7 0,0 1 0,-6 6 0,-8 10 0,-5 9 0,-5 5 0,0 3 0,-1 2 0,0 0 0,2 0 0,0 4 0,0 6 0,1 7 0,0 5 0,2 0 0,-2-1 0,-1-4 0,-1-3 0,0-3 0,1-1 0,2-1 0,3 1 0,2 0 0,3 1 0,2 1 0,2 1 0,1 0 0,-3-1 0,-3-1 0,-9-6 0,-3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7:39:14.28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1025 24575,'0'-9'0,"5"-6"0,14-9 0,26-12 0,37-15 0,-23 19 0,7 0 0,-7 6 0,5-1 0,1 0-423,9-2 0,2 0 0,3-1 423,-8 5 0,2-1 0,3 0 0,0 0-554,9-1 0,1-1 0,2 1 0,0 0 554,5 0 0,1 1 0,1 0 0,1 1 0,-14 5 0,1-1 0,0 1 0,0 1 0,-1 1 0,16-2 0,0 0 0,-1 2 0,0 1 0,-3 0 0,-1 2 0,0 0 0,-1 1-309,-6 2 0,-1 0 1,0 1-1,-3 1 309,19-1 0,-3 0 0,-1 2 0,-3 2 0,-2 0 0,0 2 0,-2 1 0,-2 1 0,1 1 0,1 0 0,0 1 0,1 1 0,3 0 0,1 0 0,0 0 0,-2 0 0,1 0 0,-3 0-161,-5 0 1,-2 0 0,0 0 160,-6 0 0,0 1 0,-2 1 0,-7 1 0,-1 0 0,-2 1 0,23 5 0,-2 2 505,-2 2 0,-1 2-505,-8 1 0,-3 2 1062,-4-1 0,-1 1-1062,-2 2 0,-1 0 721,-2 0 0,-2 1-721,-3 0 0,-2-1 312,-1 1 1,-2-1-313,39 16 0,-15-3 0,-11-3 0,-12-4 0,-7-1 0,-1 1 0,2 2 0,8 3 0,12 4 0,5 4 0,8 3 0,-1 3 0,-10-2 0,-10-3 0,-16-6 0,-11-7 0,-9-5 0,-3-1 0,-3-1 0,-3-2 0,-1-1 0,-4-3 0,-2-2 0,-4-1 0,-2-4 0,-4-4 0,-3-7 0,-4-4 0,-1-4 0,-1 1 0,-2 2 0,1 2 0,1 2 0,-1 3 0,0 1 0,-1 1 0,0-1 0,-1-1 0,2-1 0,0 0 0,1-1 0,2 0 0,1 1 0,-1 1 0,2 1 0,0 1 0,0 0 0,1 0 0,1 0 0,1 0 0,2 0 0,9 0 0,7 0 0,13 2 0,3 3 0,-2 2 0,-4 2 0,-5 0 0,-4-1 0,-2 0 0,0-1 0,0-2 0,-1 0 0,-2-3 0,-2 0 0,-2 1 0,-2-1 0,-2 0 0,2-1 0,-1-2 0,-1-3 0,0-7 0,0-5 0,0-5 0,1-2 0,0-2 0,0-2 0,2 0 0,-1 1 0,0 3 0,-2 9 0,0 10 0,-2 7 0,-1 8 0,-1 6 0,-3 5 0,-2 2 0,0 1 0,0-2 0,-1-1 0,0-3 0,1-3 0,2-3 0,2-2 0,2-3 0,0-1 0,0-1 0,0-1 0,0-1 0,0 1 0,0-1 0,0 0 0,-1 0 0,0 0 0,0-1 0,-1 1 0,-1-1 0,0-2 0,-2 1 0,-1-1 0,-2-1 0,-1 0 0,-2 0 0,-1 0 0,-1 0 0,0 0 0,-1 0 0,1 0 0,1 0 0,2 0 0,0 0 0,2 0 0,-1 0 0,1 0 0,1-1 0,3-1 0,2-3 0,2 0 0,-1 0 0,1 1 0,0-1 0,0 0 0,1 1 0,-1 1 0,-1-1 0,1 1 0,0-1 0,3 1 0,3-1 0,8 2 0,9-1 0,7 0 0,3 1 0,-2 2 0,-5 0 0,-5 0 0,-7 0 0,-3 0 0,-3 0 0,-2-1 0,-3-2 0,-1-2 0,0-3 0,2-6 0,2-8 0,1-6 0,2-2 0,0 2 0,-3 8 0,-2 6 0,-2 4 0,0 3 0,-1 3 0,-3 4 0,-4 4 0,-8 7 0,-8 6 0,-6 5 0,-1 2 0,3 0 0,6-6 0,5-3 0,5-5 0,2-1 0,2-1 0,1-1 0,2-1 0,0 0 0,2-2 0,1 1 0,-2 0 0,3-1 0,2-2 0,8-5 0,9-6 0,10-8 0,8-5 0,0-2 0,-6 3 0,-10 5 0,-12 7 0,-8 5 0,-6 6 0,-6 7 0,-4 7 0,-3 5 0,0 1 0,3-1 0,4-4 0,3-4 0,3-3 0,2-6 0,4-6 0,-2-1 0,4-2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11422-3E72-2146-ABE7-8C61E769AC98}">
  <dimension ref="A2:F49"/>
  <sheetViews>
    <sheetView topLeftCell="A44" zoomScale="342" workbookViewId="0">
      <selection activeCell="B50" sqref="B50"/>
    </sheetView>
  </sheetViews>
  <sheetFormatPr baseColWidth="10" defaultRowHeight="16" x14ac:dyDescent="0.2"/>
  <sheetData>
    <row r="2" spans="2:4" x14ac:dyDescent="0.2">
      <c r="B2" s="2" t="s">
        <v>0</v>
      </c>
      <c r="C2" s="2"/>
      <c r="D2" s="2"/>
    </row>
    <row r="3" spans="2:4" x14ac:dyDescent="0.2">
      <c r="B3" s="2"/>
      <c r="C3" s="2"/>
      <c r="D3" s="2"/>
    </row>
    <row r="5" spans="2:4" x14ac:dyDescent="0.2">
      <c r="B5" t="s">
        <v>1</v>
      </c>
    </row>
    <row r="7" spans="2:4" x14ac:dyDescent="0.2">
      <c r="C7" t="b">
        <v>1</v>
      </c>
      <c r="D7">
        <v>1</v>
      </c>
    </row>
    <row r="8" spans="2:4" x14ac:dyDescent="0.2">
      <c r="C8" t="b">
        <v>0</v>
      </c>
      <c r="D8">
        <v>0</v>
      </c>
    </row>
    <row r="10" spans="2:4" x14ac:dyDescent="0.2">
      <c r="B10" t="s">
        <v>6</v>
      </c>
    </row>
    <row r="11" spans="2:4" x14ac:dyDescent="0.2">
      <c r="B11" t="s">
        <v>7</v>
      </c>
    </row>
    <row r="14" spans="2:4" x14ac:dyDescent="0.2">
      <c r="B14" t="s">
        <v>8</v>
      </c>
    </row>
    <row r="18" spans="2:4" x14ac:dyDescent="0.2">
      <c r="B18" t="s">
        <v>14</v>
      </c>
    </row>
    <row r="21" spans="2:4" x14ac:dyDescent="0.2">
      <c r="B21" t="s">
        <v>21</v>
      </c>
    </row>
    <row r="23" spans="2:4" x14ac:dyDescent="0.2">
      <c r="B23" t="s">
        <v>26</v>
      </c>
      <c r="D23" t="s">
        <v>38</v>
      </c>
    </row>
    <row r="25" spans="2:4" x14ac:dyDescent="0.2">
      <c r="B25" t="s">
        <v>36</v>
      </c>
      <c r="D25" t="s">
        <v>39</v>
      </c>
    </row>
    <row r="27" spans="2:4" x14ac:dyDescent="0.2">
      <c r="B27" t="s">
        <v>37</v>
      </c>
    </row>
    <row r="30" spans="2:4" x14ac:dyDescent="0.2">
      <c r="B30" t="s">
        <v>46</v>
      </c>
    </row>
    <row r="32" spans="2:4" x14ac:dyDescent="0.2">
      <c r="B32" t="s">
        <v>48</v>
      </c>
      <c r="D32" t="s">
        <v>49</v>
      </c>
    </row>
    <row r="34" spans="1:6" x14ac:dyDescent="0.2">
      <c r="B34" t="s">
        <v>50</v>
      </c>
      <c r="D34" t="s">
        <v>51</v>
      </c>
    </row>
    <row r="36" spans="1:6" x14ac:dyDescent="0.2">
      <c r="B36" t="s">
        <v>52</v>
      </c>
      <c r="D36" t="s">
        <v>53</v>
      </c>
    </row>
    <row r="38" spans="1:6" x14ac:dyDescent="0.2">
      <c r="B38" t="s">
        <v>54</v>
      </c>
      <c r="D38" t="s">
        <v>56</v>
      </c>
    </row>
    <row r="40" spans="1:6" x14ac:dyDescent="0.2">
      <c r="B40" t="s">
        <v>55</v>
      </c>
      <c r="D40" t="s">
        <v>57</v>
      </c>
    </row>
    <row r="42" spans="1:6" x14ac:dyDescent="0.2">
      <c r="B42" t="s">
        <v>58</v>
      </c>
      <c r="D42" t="s">
        <v>59</v>
      </c>
    </row>
    <row r="45" spans="1:6" x14ac:dyDescent="0.2">
      <c r="A45" s="3"/>
      <c r="B45" s="3"/>
      <c r="C45" s="3"/>
      <c r="D45" s="3"/>
      <c r="E45" s="3"/>
      <c r="F45" s="3"/>
    </row>
    <row r="49" spans="2:2" x14ac:dyDescent="0.2">
      <c r="B49" t="s">
        <v>61</v>
      </c>
    </row>
  </sheetData>
  <mergeCells count="1">
    <mergeCell ref="B2:D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809F8-7152-8B42-B06D-E2DDDDDF13C7}">
  <dimension ref="A4:I160"/>
  <sheetViews>
    <sheetView topLeftCell="A153" zoomScale="223" workbookViewId="0">
      <selection activeCell="D154" sqref="D154"/>
    </sheetView>
  </sheetViews>
  <sheetFormatPr baseColWidth="10" defaultRowHeight="16" x14ac:dyDescent="0.2"/>
  <cols>
    <col min="3" max="3" width="16" bestFit="1" customWidth="1"/>
    <col min="6" max="6" width="22.1640625" bestFit="1" customWidth="1"/>
  </cols>
  <sheetData>
    <row r="4" spans="1:7" x14ac:dyDescent="0.2">
      <c r="B4" t="s">
        <v>2</v>
      </c>
    </row>
    <row r="6" spans="1:7" x14ac:dyDescent="0.2">
      <c r="B6" t="s">
        <v>3</v>
      </c>
    </row>
    <row r="7" spans="1:7" x14ac:dyDescent="0.2">
      <c r="B7" t="s">
        <v>4</v>
      </c>
    </row>
    <row r="9" spans="1:7" x14ac:dyDescent="0.2">
      <c r="B9" t="s">
        <v>5</v>
      </c>
    </row>
    <row r="11" spans="1:7" x14ac:dyDescent="0.2">
      <c r="A11" s="3"/>
      <c r="B11" s="3"/>
      <c r="C11" s="3"/>
      <c r="D11" s="3"/>
      <c r="E11" s="3"/>
      <c r="F11" s="3"/>
      <c r="G11" s="3"/>
    </row>
    <row r="13" spans="1:7" x14ac:dyDescent="0.2">
      <c r="B13" s="3" t="b">
        <v>1</v>
      </c>
      <c r="C13">
        <v>1</v>
      </c>
    </row>
    <row r="14" spans="1:7" x14ac:dyDescent="0.2">
      <c r="B14" s="3" t="b">
        <v>0</v>
      </c>
      <c r="C14">
        <v>0</v>
      </c>
    </row>
    <row r="17" spans="1:7" x14ac:dyDescent="0.2">
      <c r="A17" s="3"/>
      <c r="B17" s="3"/>
      <c r="C17" s="3"/>
      <c r="D17" s="3"/>
      <c r="E17" s="3"/>
      <c r="F17" s="3"/>
      <c r="G17" s="3"/>
    </row>
    <row r="20" spans="1:7" x14ac:dyDescent="0.2">
      <c r="B20" t="s">
        <v>9</v>
      </c>
      <c r="D20" t="s">
        <v>10</v>
      </c>
    </row>
    <row r="21" spans="1:7" x14ac:dyDescent="0.2">
      <c r="C21" t="s">
        <v>13</v>
      </c>
    </row>
    <row r="23" spans="1:7" x14ac:dyDescent="0.2">
      <c r="B23" t="s">
        <v>11</v>
      </c>
      <c r="C23" t="s">
        <v>12</v>
      </c>
    </row>
    <row r="24" spans="1:7" x14ac:dyDescent="0.2">
      <c r="B24">
        <v>48</v>
      </c>
      <c r="C24" t="str">
        <f>IF(B24&gt;=18,"PERSON IS ADULT","PERSON IS MINOR")</f>
        <v>PERSON IS ADULT</v>
      </c>
      <c r="E24" t="str">
        <f ca="1">_xlfn.FORMULATEXT(C24)</f>
        <v>=IF(B24&gt;=18,"PERSON IS ADULT","PERSON IS MINOR")</v>
      </c>
    </row>
    <row r="25" spans="1:7" x14ac:dyDescent="0.2">
      <c r="B25">
        <v>15</v>
      </c>
      <c r="C25" t="str">
        <f>IF(B25&gt;=18,"PERSON IS ADULT","PERSON IS MINOR")</f>
        <v>PERSON IS MINOR</v>
      </c>
    </row>
    <row r="26" spans="1:7" x14ac:dyDescent="0.2">
      <c r="B26">
        <v>27</v>
      </c>
      <c r="C26" t="str">
        <f t="shared" ref="C26:C33" si="0">IF(B26&gt;=18,"PERSON IS ADULT","PERSON IS MINOR")</f>
        <v>PERSON IS ADULT</v>
      </c>
    </row>
    <row r="27" spans="1:7" x14ac:dyDescent="0.2">
      <c r="B27">
        <v>14</v>
      </c>
      <c r="C27" t="str">
        <f t="shared" si="0"/>
        <v>PERSON IS MINOR</v>
      </c>
    </row>
    <row r="28" spans="1:7" x14ac:dyDescent="0.2">
      <c r="B28">
        <v>41</v>
      </c>
      <c r="C28" t="str">
        <f t="shared" si="0"/>
        <v>PERSON IS ADULT</v>
      </c>
    </row>
    <row r="29" spans="1:7" x14ac:dyDescent="0.2">
      <c r="B29">
        <v>26</v>
      </c>
      <c r="C29" t="str">
        <f t="shared" si="0"/>
        <v>PERSON IS ADULT</v>
      </c>
    </row>
    <row r="30" spans="1:7" x14ac:dyDescent="0.2">
      <c r="B30">
        <v>44</v>
      </c>
      <c r="C30" t="str">
        <f t="shared" si="0"/>
        <v>PERSON IS ADULT</v>
      </c>
    </row>
    <row r="31" spans="1:7" x14ac:dyDescent="0.2">
      <c r="B31">
        <v>16</v>
      </c>
      <c r="C31" t="str">
        <f t="shared" si="0"/>
        <v>PERSON IS MINOR</v>
      </c>
      <c r="E31" t="str">
        <f>"=RANDARRAY(10,1,14,60,TRUE)"</f>
        <v>=RANDARRAY(10,1,14,60,TRUE)</v>
      </c>
    </row>
    <row r="32" spans="1:7" x14ac:dyDescent="0.2">
      <c r="B32">
        <v>57</v>
      </c>
      <c r="C32" t="str">
        <f t="shared" si="0"/>
        <v>PERSON IS ADULT</v>
      </c>
    </row>
    <row r="33" spans="1:9" x14ac:dyDescent="0.2">
      <c r="B33">
        <v>24</v>
      </c>
      <c r="C33" t="str">
        <f t="shared" si="0"/>
        <v>PERSON IS ADULT</v>
      </c>
    </row>
    <row r="35" spans="1:9" x14ac:dyDescent="0.2">
      <c r="A35" s="3"/>
      <c r="B35" s="3"/>
      <c r="C35" s="3"/>
      <c r="D35" s="3"/>
      <c r="E35" s="3"/>
      <c r="F35" s="3"/>
    </row>
    <row r="37" spans="1:9" x14ac:dyDescent="0.2">
      <c r="B37" t="s">
        <v>15</v>
      </c>
      <c r="D37" t="s">
        <v>19</v>
      </c>
    </row>
    <row r="39" spans="1:9" x14ac:dyDescent="0.2">
      <c r="B39" t="s">
        <v>16</v>
      </c>
      <c r="C39">
        <v>5</v>
      </c>
    </row>
    <row r="40" spans="1:9" x14ac:dyDescent="0.2">
      <c r="B40" t="s">
        <v>17</v>
      </c>
      <c r="C40">
        <v>2</v>
      </c>
    </row>
    <row r="43" spans="1:9" x14ac:dyDescent="0.2">
      <c r="B43" t="s">
        <v>18</v>
      </c>
      <c r="C43">
        <f>IFERROR(C39/C40,"Div by 0 not allowed")</f>
        <v>2.5</v>
      </c>
      <c r="E43" t="str">
        <f ca="1">_xlfn.FORMULATEXT(C43)</f>
        <v>=IFERROR(C39/C40,"Div by 0 not allowed")</v>
      </c>
    </row>
    <row r="44" spans="1:9" x14ac:dyDescent="0.2">
      <c r="C44" t="str">
        <f>IFERROR(SUM("Utkarsh",1,2,3),"TEXT NOT ALLOWED")</f>
        <v>TEXT NOT ALLOWED</v>
      </c>
    </row>
    <row r="48" spans="1:9" x14ac:dyDescent="0.2">
      <c r="A48" s="3"/>
      <c r="B48" s="3"/>
      <c r="C48" s="3"/>
      <c r="D48" s="3"/>
      <c r="E48" s="3"/>
      <c r="F48" s="3"/>
      <c r="G48" s="3"/>
      <c r="H48" s="3"/>
      <c r="I48" s="3"/>
    </row>
    <row r="50" spans="2:5" x14ac:dyDescent="0.2">
      <c r="B50" s="1" t="s">
        <v>20</v>
      </c>
      <c r="C50" s="1"/>
    </row>
    <row r="51" spans="2:5" x14ac:dyDescent="0.2">
      <c r="B51" s="1"/>
      <c r="C51" s="1"/>
    </row>
    <row r="53" spans="2:5" x14ac:dyDescent="0.2">
      <c r="C53" t="s">
        <v>22</v>
      </c>
    </row>
    <row r="56" spans="2:5" x14ac:dyDescent="0.2">
      <c r="C56" t="s">
        <v>23</v>
      </c>
      <c r="D56" t="s">
        <v>24</v>
      </c>
      <c r="E56" t="s">
        <v>25</v>
      </c>
    </row>
    <row r="61" spans="2:5" x14ac:dyDescent="0.2">
      <c r="B61" t="s">
        <v>26</v>
      </c>
    </row>
    <row r="63" spans="2:5" x14ac:dyDescent="0.2">
      <c r="B63" t="s">
        <v>27</v>
      </c>
    </row>
    <row r="66" spans="1:9" x14ac:dyDescent="0.2">
      <c r="B66" t="b">
        <f>AND(TRUE, TRUE, TRUE)</f>
        <v>1</v>
      </c>
      <c r="D66" t="str">
        <f ca="1">_xlfn.FORMULATEXT(B66)</f>
        <v>=AND(TRUE, TRUE, TRUE)</v>
      </c>
    </row>
    <row r="70" spans="1:9" x14ac:dyDescent="0.2">
      <c r="B70" s="4" t="s">
        <v>28</v>
      </c>
      <c r="C70" s="4" t="s">
        <v>29</v>
      </c>
      <c r="D70" s="4" t="s">
        <v>11</v>
      </c>
      <c r="F70" s="6" t="s">
        <v>35</v>
      </c>
    </row>
    <row r="71" spans="1:9" x14ac:dyDescent="0.2">
      <c r="B71" s="5" t="s">
        <v>30</v>
      </c>
      <c r="C71" s="5">
        <v>4000</v>
      </c>
      <c r="D71" s="5">
        <v>17</v>
      </c>
      <c r="F71" t="b">
        <f>AND(B71="MH",D71&gt;=18)</f>
        <v>0</v>
      </c>
      <c r="I71" t="str">
        <f>IF(AND(D71&gt;=18,B71="MH"),"ADULT FROM MAHARASTRA","OTHERWISE")</f>
        <v>OTHERWISE</v>
      </c>
    </row>
    <row r="72" spans="1:9" x14ac:dyDescent="0.2">
      <c r="B72" s="5" t="s">
        <v>31</v>
      </c>
      <c r="C72" s="5">
        <v>5600</v>
      </c>
      <c r="D72" s="5">
        <v>18</v>
      </c>
      <c r="F72" t="b">
        <f t="shared" ref="F72:F80" si="1">AND(B72="MH",D72&gt;=18)</f>
        <v>0</v>
      </c>
      <c r="I72" t="str">
        <f t="shared" ref="I72:I80" si="2">IF(AND(D72&gt;=18,B72="MH"),"ADULT FROM MAHARASTRA","OTHERWISE")</f>
        <v>OTHERWISE</v>
      </c>
    </row>
    <row r="73" spans="1:9" x14ac:dyDescent="0.2">
      <c r="B73" s="5" t="s">
        <v>32</v>
      </c>
      <c r="C73" s="5">
        <v>9700</v>
      </c>
      <c r="D73" s="5">
        <v>19</v>
      </c>
      <c r="F73" t="b">
        <f t="shared" si="1"/>
        <v>0</v>
      </c>
      <c r="I73" t="str">
        <f t="shared" si="2"/>
        <v>OTHERWISE</v>
      </c>
    </row>
    <row r="74" spans="1:9" x14ac:dyDescent="0.2">
      <c r="B74" s="5" t="s">
        <v>33</v>
      </c>
      <c r="C74" s="5">
        <v>4000</v>
      </c>
      <c r="D74" s="5">
        <v>20</v>
      </c>
      <c r="F74" t="b">
        <f t="shared" si="1"/>
        <v>0</v>
      </c>
      <c r="I74" t="str">
        <f t="shared" si="2"/>
        <v>OTHERWISE</v>
      </c>
    </row>
    <row r="75" spans="1:9" x14ac:dyDescent="0.2">
      <c r="A75" s="7"/>
      <c r="B75" s="8" t="s">
        <v>30</v>
      </c>
      <c r="C75" s="8">
        <v>8000</v>
      </c>
      <c r="D75" s="8">
        <v>21</v>
      </c>
      <c r="E75" s="7"/>
      <c r="F75" s="7" t="b">
        <f t="shared" si="1"/>
        <v>1</v>
      </c>
      <c r="G75" s="7"/>
      <c r="I75" t="str">
        <f t="shared" si="2"/>
        <v>ADULT FROM MAHARASTRA</v>
      </c>
    </row>
    <row r="76" spans="1:9" x14ac:dyDescent="0.2">
      <c r="B76" s="5" t="s">
        <v>31</v>
      </c>
      <c r="C76" s="5">
        <v>9000</v>
      </c>
      <c r="D76" s="5">
        <v>17</v>
      </c>
      <c r="F76" t="b">
        <f t="shared" si="1"/>
        <v>0</v>
      </c>
      <c r="I76" t="str">
        <f t="shared" si="2"/>
        <v>OTHERWISE</v>
      </c>
    </row>
    <row r="77" spans="1:9" x14ac:dyDescent="0.2">
      <c r="B77" s="5" t="s">
        <v>32</v>
      </c>
      <c r="C77" s="5">
        <v>15000</v>
      </c>
      <c r="D77" s="5">
        <v>18</v>
      </c>
      <c r="F77" t="b">
        <f t="shared" si="1"/>
        <v>0</v>
      </c>
      <c r="I77" t="str">
        <f t="shared" si="2"/>
        <v>OTHERWISE</v>
      </c>
    </row>
    <row r="78" spans="1:9" x14ac:dyDescent="0.2">
      <c r="B78" s="5" t="s">
        <v>30</v>
      </c>
      <c r="C78" s="5">
        <v>34000</v>
      </c>
      <c r="D78" s="5">
        <v>16</v>
      </c>
      <c r="F78" t="b">
        <f t="shared" si="1"/>
        <v>0</v>
      </c>
      <c r="I78" t="str">
        <f t="shared" si="2"/>
        <v>OTHERWISE</v>
      </c>
    </row>
    <row r="79" spans="1:9" x14ac:dyDescent="0.2">
      <c r="B79" s="5" t="s">
        <v>34</v>
      </c>
      <c r="C79" s="5">
        <v>9000</v>
      </c>
      <c r="D79" s="5">
        <v>20</v>
      </c>
      <c r="F79" t="b">
        <f t="shared" si="1"/>
        <v>0</v>
      </c>
      <c r="I79" t="str">
        <f t="shared" si="2"/>
        <v>OTHERWISE</v>
      </c>
    </row>
    <row r="80" spans="1:9" x14ac:dyDescent="0.2">
      <c r="A80" s="7"/>
      <c r="B80" s="8" t="s">
        <v>30</v>
      </c>
      <c r="C80" s="8">
        <v>9000</v>
      </c>
      <c r="D80" s="8">
        <v>24</v>
      </c>
      <c r="E80" s="7"/>
      <c r="F80" s="7" t="b">
        <f t="shared" si="1"/>
        <v>1</v>
      </c>
      <c r="G80" s="7"/>
      <c r="I80" t="str">
        <f t="shared" si="2"/>
        <v>ADULT FROM MAHARASTRA</v>
      </c>
    </row>
    <row r="83" spans="1:7" x14ac:dyDescent="0.2">
      <c r="B83" t="s">
        <v>36</v>
      </c>
      <c r="D83" t="s">
        <v>40</v>
      </c>
    </row>
    <row r="86" spans="1:7" x14ac:dyDescent="0.2">
      <c r="B86" s="4" t="s">
        <v>28</v>
      </c>
      <c r="C86" s="4" t="s">
        <v>29</v>
      </c>
      <c r="D86" s="4" t="s">
        <v>11</v>
      </c>
      <c r="F86" s="6" t="s">
        <v>41</v>
      </c>
    </row>
    <row r="87" spans="1:7" x14ac:dyDescent="0.2">
      <c r="B87" s="5" t="s">
        <v>30</v>
      </c>
      <c r="C87" s="5">
        <v>4000</v>
      </c>
      <c r="D87" s="5">
        <v>17</v>
      </c>
      <c r="F87" t="b">
        <f>OR(B87="MH",D87&gt;=18,C87&gt;5000)</f>
        <v>1</v>
      </c>
    </row>
    <row r="88" spans="1:7" x14ac:dyDescent="0.2">
      <c r="B88" s="5" t="s">
        <v>31</v>
      </c>
      <c r="C88" s="5">
        <v>5600</v>
      </c>
      <c r="D88" s="5">
        <v>18</v>
      </c>
      <c r="F88" t="b">
        <f t="shared" ref="F88:F96" si="3">OR(B88="MH",D88&gt;=18,C88&gt;5000)</f>
        <v>1</v>
      </c>
    </row>
    <row r="89" spans="1:7" x14ac:dyDescent="0.2">
      <c r="B89" s="5" t="s">
        <v>32</v>
      </c>
      <c r="C89" s="5">
        <v>9700</v>
      </c>
      <c r="D89" s="5">
        <v>19</v>
      </c>
      <c r="F89" t="b">
        <f t="shared" si="3"/>
        <v>1</v>
      </c>
    </row>
    <row r="90" spans="1:7" x14ac:dyDescent="0.2">
      <c r="B90" s="5" t="s">
        <v>33</v>
      </c>
      <c r="C90" s="5">
        <v>4000</v>
      </c>
      <c r="D90" s="5">
        <v>20</v>
      </c>
      <c r="F90" t="b">
        <f t="shared" si="3"/>
        <v>1</v>
      </c>
    </row>
    <row r="91" spans="1:7" x14ac:dyDescent="0.2">
      <c r="B91" s="9" t="s">
        <v>30</v>
      </c>
      <c r="C91" s="9">
        <v>8000</v>
      </c>
      <c r="D91" s="9">
        <v>21</v>
      </c>
      <c r="F91" t="b">
        <f t="shared" si="3"/>
        <v>1</v>
      </c>
    </row>
    <row r="92" spans="1:7" x14ac:dyDescent="0.2">
      <c r="A92" s="10"/>
      <c r="B92" s="11" t="s">
        <v>31</v>
      </c>
      <c r="C92" s="11">
        <v>9000</v>
      </c>
      <c r="D92" s="11">
        <v>17</v>
      </c>
      <c r="E92" s="10"/>
      <c r="F92" t="b">
        <f>OR(B92="MH",D92&gt;=18,C92&gt;5000)</f>
        <v>1</v>
      </c>
      <c r="G92" s="10"/>
    </row>
    <row r="93" spans="1:7" x14ac:dyDescent="0.2">
      <c r="B93" s="5" t="s">
        <v>32</v>
      </c>
      <c r="C93" s="5">
        <v>15000</v>
      </c>
      <c r="D93" s="5">
        <v>18</v>
      </c>
      <c r="F93" t="b">
        <f t="shared" si="3"/>
        <v>1</v>
      </c>
    </row>
    <row r="94" spans="1:7" x14ac:dyDescent="0.2">
      <c r="B94" s="5" t="s">
        <v>30</v>
      </c>
      <c r="C94" s="5">
        <v>34000</v>
      </c>
      <c r="D94" s="5">
        <v>16</v>
      </c>
      <c r="F94" t="b">
        <f t="shared" si="3"/>
        <v>1</v>
      </c>
    </row>
    <row r="95" spans="1:7" x14ac:dyDescent="0.2">
      <c r="B95" s="5" t="s">
        <v>34</v>
      </c>
      <c r="C95" s="5">
        <v>9000</v>
      </c>
      <c r="D95" s="5">
        <v>20</v>
      </c>
      <c r="F95" t="b">
        <f t="shared" si="3"/>
        <v>1</v>
      </c>
    </row>
    <row r="96" spans="1:7" x14ac:dyDescent="0.2">
      <c r="B96" s="9" t="s">
        <v>30</v>
      </c>
      <c r="C96" s="9">
        <v>9000</v>
      </c>
      <c r="D96" s="9">
        <v>24</v>
      </c>
      <c r="F96" t="b">
        <f t="shared" si="3"/>
        <v>1</v>
      </c>
    </row>
    <row r="99" spans="1:8" x14ac:dyDescent="0.2">
      <c r="A99" s="12"/>
      <c r="B99" s="12"/>
      <c r="C99" s="12"/>
      <c r="D99" s="12"/>
      <c r="E99" s="12"/>
      <c r="F99" s="12"/>
      <c r="G99" s="12"/>
      <c r="H99" s="12"/>
    </row>
    <row r="101" spans="1:8" x14ac:dyDescent="0.2">
      <c r="B101" t="s">
        <v>37</v>
      </c>
      <c r="C101" t="s">
        <v>42</v>
      </c>
    </row>
    <row r="103" spans="1:8" x14ac:dyDescent="0.2">
      <c r="C103" t="s">
        <v>43</v>
      </c>
    </row>
    <row r="105" spans="1:8" x14ac:dyDescent="0.2">
      <c r="C105" t="s">
        <v>44</v>
      </c>
      <c r="D105" t="s">
        <v>45</v>
      </c>
    </row>
    <row r="106" spans="1:8" x14ac:dyDescent="0.2">
      <c r="C106" t="b">
        <v>1</v>
      </c>
      <c r="D106" t="b">
        <f>NOT(C106)</f>
        <v>0</v>
      </c>
      <c r="F106" t="str">
        <f ca="1">_xlfn.FORMULATEXT(D106)</f>
        <v>=NOT(C106)</v>
      </c>
    </row>
    <row r="107" spans="1:8" x14ac:dyDescent="0.2">
      <c r="C107" t="b">
        <v>0</v>
      </c>
      <c r="D107" t="b">
        <f>NOT(C107)</f>
        <v>1</v>
      </c>
    </row>
    <row r="109" spans="1:8" x14ac:dyDescent="0.2">
      <c r="A109" s="12"/>
      <c r="B109" s="12"/>
      <c r="C109" s="12"/>
      <c r="D109" s="12"/>
      <c r="E109" s="12"/>
      <c r="F109" s="12"/>
      <c r="G109" s="12"/>
      <c r="H109" s="12"/>
    </row>
    <row r="113" spans="2:7" x14ac:dyDescent="0.2">
      <c r="B113" t="s">
        <v>47</v>
      </c>
    </row>
    <row r="115" spans="2:7" x14ac:dyDescent="0.2">
      <c r="B115">
        <v>3</v>
      </c>
      <c r="C115" t="b">
        <f>ISODD(B115)</f>
        <v>1</v>
      </c>
      <c r="D115">
        <f>B115*2</f>
        <v>6</v>
      </c>
      <c r="E115">
        <v>6</v>
      </c>
      <c r="F115" t="b">
        <f>_xlfn.ISFORMULA(D115)</f>
        <v>1</v>
      </c>
      <c r="G115" t="b">
        <f>_xlfn.ISFORMULA(E115)</f>
        <v>0</v>
      </c>
    </row>
    <row r="116" spans="2:7" x14ac:dyDescent="0.2">
      <c r="B116">
        <v>4</v>
      </c>
      <c r="C116" t="b">
        <f>ISODD(B116)</f>
        <v>0</v>
      </c>
      <c r="D116">
        <f t="shared" ref="D116:D118" si="4">B116*2</f>
        <v>8</v>
      </c>
      <c r="E116">
        <v>8</v>
      </c>
      <c r="F116" t="b">
        <f t="shared" ref="F116:F118" si="5">_xlfn.ISFORMULA(D116)</f>
        <v>1</v>
      </c>
      <c r="G116" t="b">
        <f t="shared" ref="G116:G118" si="6">_xlfn.ISFORMULA(E116)</f>
        <v>0</v>
      </c>
    </row>
    <row r="117" spans="2:7" x14ac:dyDescent="0.2">
      <c r="B117">
        <v>17</v>
      </c>
      <c r="C117" t="b">
        <f>ISODD(B117)</f>
        <v>1</v>
      </c>
      <c r="D117">
        <f t="shared" si="4"/>
        <v>34</v>
      </c>
      <c r="E117">
        <v>34</v>
      </c>
      <c r="F117" t="b">
        <f t="shared" si="5"/>
        <v>1</v>
      </c>
      <c r="G117" t="b">
        <f t="shared" si="6"/>
        <v>0</v>
      </c>
    </row>
    <row r="118" spans="2:7" x14ac:dyDescent="0.2">
      <c r="B118">
        <v>16</v>
      </c>
      <c r="C118" t="b">
        <f>ISODD(B118)</f>
        <v>0</v>
      </c>
      <c r="D118">
        <f t="shared" si="4"/>
        <v>32</v>
      </c>
      <c r="E118">
        <v>32</v>
      </c>
      <c r="F118" t="b">
        <f t="shared" si="5"/>
        <v>1</v>
      </c>
      <c r="G118" t="b">
        <f t="shared" si="6"/>
        <v>0</v>
      </c>
    </row>
    <row r="124" spans="2:7" x14ac:dyDescent="0.2">
      <c r="B124" s="13" t="str">
        <f>"3"</f>
        <v>3</v>
      </c>
      <c r="C124" t="b">
        <f>ISNUMBER(B124)</f>
        <v>0</v>
      </c>
      <c r="E124" t="str">
        <f ca="1">_xlfn.FORMULATEXT(C124)</f>
        <v>=ISNUMBER(B124)</v>
      </c>
    </row>
    <row r="126" spans="2:7" x14ac:dyDescent="0.2">
      <c r="C126" t="b">
        <f>ISTEXT(B124)</f>
        <v>1</v>
      </c>
      <c r="E126" t="str">
        <f t="shared" ref="E126" ca="1" si="7">_xlfn.FORMULATEXT(C126)</f>
        <v>=ISTEXT(B124)</v>
      </c>
    </row>
    <row r="128" spans="2:7" x14ac:dyDescent="0.2">
      <c r="C128" s="14" t="s">
        <v>60</v>
      </c>
    </row>
    <row r="129" spans="1:7" x14ac:dyDescent="0.2">
      <c r="C129" s="14" t="str">
        <f>" "</f>
        <v xml:space="preserve"> </v>
      </c>
      <c r="E129" t="b">
        <f>ISBLANK(C129)</f>
        <v>0</v>
      </c>
    </row>
    <row r="131" spans="1:7" x14ac:dyDescent="0.2">
      <c r="A131" s="3"/>
      <c r="B131" s="3"/>
      <c r="C131" s="3"/>
      <c r="D131" s="3"/>
      <c r="E131" s="3"/>
      <c r="F131" s="3"/>
      <c r="G131" s="3"/>
    </row>
    <row r="134" spans="1:7" x14ac:dyDescent="0.2">
      <c r="B134" t="s">
        <v>61</v>
      </c>
    </row>
    <row r="137" spans="1:7" x14ac:dyDescent="0.2">
      <c r="B137" s="4" t="s">
        <v>28</v>
      </c>
      <c r="C137" s="4" t="s">
        <v>29</v>
      </c>
      <c r="D137" s="4" t="s">
        <v>11</v>
      </c>
    </row>
    <row r="138" spans="1:7" x14ac:dyDescent="0.2">
      <c r="B138" s="5" t="s">
        <v>30</v>
      </c>
      <c r="C138" s="5">
        <v>4000</v>
      </c>
      <c r="D138" s="5">
        <v>17</v>
      </c>
      <c r="F138" t="str" cm="1">
        <f t="array" ref="F138">_xlfn.IFS(B138="mh","STATE IS MAHAR.",D138&gt;=18,"is adult")</f>
        <v>STATE IS MAHAR.</v>
      </c>
    </row>
    <row r="139" spans="1:7" x14ac:dyDescent="0.2">
      <c r="B139" s="5" t="s">
        <v>31</v>
      </c>
      <c r="C139" s="5">
        <v>5600</v>
      </c>
      <c r="D139" s="5">
        <v>18</v>
      </c>
      <c r="F139" t="str" cm="1">
        <f t="array" ref="F139">_xlfn.IFS(B139="mh","STATE IS MAHAR.",D139&gt;=18,"is adult")</f>
        <v>is adult</v>
      </c>
    </row>
    <row r="140" spans="1:7" x14ac:dyDescent="0.2">
      <c r="B140" s="5" t="s">
        <v>32</v>
      </c>
      <c r="C140" s="5">
        <v>9700</v>
      </c>
      <c r="D140" s="5">
        <v>19</v>
      </c>
      <c r="F140" t="str" cm="1">
        <f t="array" ref="F140">_xlfn.IFS(B140="mh","STATE IS MAHAR.",D140&gt;=18,"is adult")</f>
        <v>is adult</v>
      </c>
    </row>
    <row r="141" spans="1:7" x14ac:dyDescent="0.2">
      <c r="B141" s="5" t="s">
        <v>33</v>
      </c>
      <c r="C141" s="5">
        <v>4000</v>
      </c>
      <c r="D141" s="5">
        <v>20</v>
      </c>
      <c r="F141" t="str" cm="1">
        <f t="array" ref="F141">_xlfn.IFS(B141="mh","STATE IS MAHAR.",D141&gt;=18,"is adult")</f>
        <v>is adult</v>
      </c>
    </row>
    <row r="142" spans="1:7" x14ac:dyDescent="0.2">
      <c r="B142" s="9" t="s">
        <v>30</v>
      </c>
      <c r="C142" s="9">
        <v>8000</v>
      </c>
      <c r="D142" s="9">
        <v>21</v>
      </c>
      <c r="F142" t="str" cm="1">
        <f t="array" ref="F142">_xlfn.IFS(B142="mh","STATE IS MAHAR.",D142&gt;=18,"is adult")</f>
        <v>STATE IS MAHAR.</v>
      </c>
    </row>
    <row r="143" spans="1:7" x14ac:dyDescent="0.2">
      <c r="B143" s="9" t="s">
        <v>31</v>
      </c>
      <c r="C143" s="9">
        <v>9000</v>
      </c>
      <c r="D143" s="9">
        <v>17</v>
      </c>
      <c r="F143" t="e" cm="1">
        <f t="array" ref="F143">_xlfn.IFS(B143="mh","STATE IS MAHAR.",D143&gt;=18,"is adult")</f>
        <v>#N/A</v>
      </c>
    </row>
    <row r="144" spans="1:7" x14ac:dyDescent="0.2">
      <c r="B144" s="5" t="s">
        <v>32</v>
      </c>
      <c r="C144" s="5">
        <v>15000</v>
      </c>
      <c r="D144" s="5">
        <v>18</v>
      </c>
      <c r="F144" t="str" cm="1">
        <f t="array" ref="F144">_xlfn.IFS(B144="mh","STATE IS MAHAR.",D144&gt;=18,"is adult")</f>
        <v>is adult</v>
      </c>
    </row>
    <row r="145" spans="2:7" x14ac:dyDescent="0.2">
      <c r="B145" s="5" t="s">
        <v>30</v>
      </c>
      <c r="C145" s="5">
        <v>34000</v>
      </c>
      <c r="D145" s="5">
        <v>16</v>
      </c>
      <c r="F145" t="str" cm="1">
        <f t="array" ref="F145">_xlfn.IFS(B145="mh","STATE IS MAHAR.",D145&gt;=18,"is adult")</f>
        <v>STATE IS MAHAR.</v>
      </c>
    </row>
    <row r="146" spans="2:7" x14ac:dyDescent="0.2">
      <c r="B146" s="5" t="s">
        <v>34</v>
      </c>
      <c r="C146" s="5">
        <v>9000</v>
      </c>
      <c r="D146" s="5">
        <v>20</v>
      </c>
      <c r="F146" t="str" cm="1">
        <f t="array" ref="F146">_xlfn.IFS(B146="mh","STATE IS MAHAR.",D146&gt;=18,"is adult")</f>
        <v>is adult</v>
      </c>
    </row>
    <row r="147" spans="2:7" x14ac:dyDescent="0.2">
      <c r="B147" s="9" t="s">
        <v>30</v>
      </c>
      <c r="C147" s="9">
        <v>9000</v>
      </c>
      <c r="D147" s="9">
        <v>24</v>
      </c>
      <c r="F147" t="str" cm="1">
        <f t="array" ref="F147">_xlfn.IFS(B147="mh","STATE IS MAHAR.",D147&gt;=18,"is adult")</f>
        <v>STATE IS MAHAR.</v>
      </c>
    </row>
    <row r="150" spans="2:7" x14ac:dyDescent="0.2">
      <c r="B150" s="15" t="s">
        <v>62</v>
      </c>
    </row>
    <row r="151" spans="2:7" x14ac:dyDescent="0.2">
      <c r="B151">
        <v>66</v>
      </c>
      <c r="C151" t="str" cm="1">
        <f t="array" ref="C151">_xlfn.IFS(B151&gt;=90,$G$151,B151&gt;=80,"A",B151&gt;=70,"B",B151&gt;=60,$G$154,B151&gt;=50,"D",B151&lt;50,"E")</f>
        <v>C</v>
      </c>
      <c r="F151" t="s">
        <v>63</v>
      </c>
      <c r="G151" t="s">
        <v>64</v>
      </c>
    </row>
    <row r="152" spans="2:7" x14ac:dyDescent="0.2">
      <c r="B152">
        <v>49</v>
      </c>
      <c r="C152" t="str" cm="1">
        <f t="array" ref="C152">_xlfn.IFS(B152&gt;=90,$G$151,B152&gt;=80,"A",B152&gt;=70,"B",B152&gt;=60,$G$154,B152&gt;=50,"D",B152&lt;50,"E")</f>
        <v>E</v>
      </c>
      <c r="F152" t="s">
        <v>65</v>
      </c>
      <c r="G152" t="s">
        <v>67</v>
      </c>
    </row>
    <row r="153" spans="2:7" x14ac:dyDescent="0.2">
      <c r="B153">
        <v>10</v>
      </c>
      <c r="C153" t="str" cm="1">
        <f t="array" ref="C153">_xlfn.IFS(B153&gt;=90,$G$151,B153&gt;=80,"A",B153&gt;=70,"B",B153&gt;=60,$G$154,B153&gt;=50,"D",B153&lt;50,"E")</f>
        <v>E</v>
      </c>
      <c r="F153" t="s">
        <v>66</v>
      </c>
      <c r="G153" t="s">
        <v>68</v>
      </c>
    </row>
    <row r="154" spans="2:7" x14ac:dyDescent="0.2">
      <c r="B154">
        <v>23</v>
      </c>
      <c r="C154" t="str" cm="1">
        <f t="array" ref="C154">_xlfn.IFS(B154&gt;=90,$G$151,B154&gt;=80,"A",B154&gt;=70,"B",B154&gt;=60,$G$154,B154&gt;=50,"D",B154&lt;50,"E")</f>
        <v>E</v>
      </c>
      <c r="F154" t="s">
        <v>69</v>
      </c>
      <c r="G154" t="s">
        <v>70</v>
      </c>
    </row>
    <row r="155" spans="2:7" x14ac:dyDescent="0.2">
      <c r="B155">
        <v>90</v>
      </c>
      <c r="C155" t="str" cm="1">
        <f t="array" ref="C155">_xlfn.IFS(B155&gt;=90,$G$151,B155&gt;=80,"A",B155&gt;=70,"B",B155&gt;=60,$G$154,B155&gt;=50,"D",B155&lt;50,"E")</f>
        <v>A+</v>
      </c>
      <c r="F155" t="s">
        <v>71</v>
      </c>
      <c r="G155" t="s">
        <v>72</v>
      </c>
    </row>
    <row r="156" spans="2:7" x14ac:dyDescent="0.2">
      <c r="B156">
        <v>52</v>
      </c>
      <c r="C156" t="str" cm="1">
        <f t="array" ref="C156">_xlfn.IFS(B156&gt;=90,$G$151,B156&gt;=80,"A",B156&gt;=70,"B",B156&gt;=60,$G$154,B156&gt;=50,"D",B156&lt;50,"E")</f>
        <v>D</v>
      </c>
      <c r="F156" t="s">
        <v>74</v>
      </c>
      <c r="G156" t="s">
        <v>73</v>
      </c>
    </row>
    <row r="157" spans="2:7" x14ac:dyDescent="0.2">
      <c r="B157">
        <v>26</v>
      </c>
      <c r="C157" t="str" cm="1">
        <f t="array" ref="C157">_xlfn.IFS(B157&gt;=90,$G$151,B157&gt;=80,"A",B157&gt;=70,"B",B157&gt;=60,$G$154,B157&gt;=50,"D",B157&lt;50,"E")</f>
        <v>E</v>
      </c>
    </row>
    <row r="158" spans="2:7" x14ac:dyDescent="0.2">
      <c r="B158">
        <v>88</v>
      </c>
      <c r="C158" t="str" cm="1">
        <f t="array" ref="C158">_xlfn.IFS(B158&gt;=90,$G$151,B158&gt;=80,"A",B158&gt;=70,"B",B158&gt;=60,$G$154,B158&gt;=50,"D",B158&lt;50,"E")</f>
        <v>A</v>
      </c>
    </row>
    <row r="159" spans="2:7" x14ac:dyDescent="0.2">
      <c r="B159">
        <v>18</v>
      </c>
      <c r="C159" t="str" cm="1">
        <f t="array" ref="C159">_xlfn.IFS(B159&gt;=90,$G$151,B159&gt;=80,"A",B159&gt;=70,"B",B159&gt;=60,$G$154,B159&gt;=50,"D",B159&lt;50,"E")</f>
        <v>E</v>
      </c>
    </row>
    <row r="160" spans="2:7" x14ac:dyDescent="0.2">
      <c r="B160">
        <v>18</v>
      </c>
      <c r="C160" t="str" cm="1">
        <f t="array" ref="C160">_xlfn.IFS(B160&gt;=90,$G$151,B160&gt;=80,"A",B160&gt;=70,"B",B160&gt;=60,$G$154,B160&gt;=50,"D",B160&lt;50,"E")</f>
        <v>E</v>
      </c>
    </row>
  </sheetData>
  <mergeCells count="1">
    <mergeCell ref="B50:C51"/>
  </mergeCells>
  <conditionalFormatting sqref="C24:C33">
    <cfRule type="cellIs" dxfId="0" priority="1" operator="equal">
      <formula>$C$27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48DDA-18E8-6E42-A2B5-72ED20C014E6}">
  <dimension ref="C4:D47"/>
  <sheetViews>
    <sheetView topLeftCell="A8" zoomScale="200" workbookViewId="0">
      <selection activeCell="E17" sqref="E17"/>
    </sheetView>
  </sheetViews>
  <sheetFormatPr baseColWidth="10" defaultRowHeight="16" x14ac:dyDescent="0.2"/>
  <sheetData>
    <row r="4" spans="3:4" x14ac:dyDescent="0.2">
      <c r="C4" t="s">
        <v>75</v>
      </c>
    </row>
    <row r="6" spans="3:4" x14ac:dyDescent="0.2">
      <c r="C6" t="s">
        <v>76</v>
      </c>
    </row>
    <row r="10" spans="3:4" x14ac:dyDescent="0.2">
      <c r="C10" t="s">
        <v>77</v>
      </c>
    </row>
    <row r="13" spans="3:4" x14ac:dyDescent="0.2">
      <c r="C13" t="s">
        <v>78</v>
      </c>
      <c r="D13" t="s">
        <v>79</v>
      </c>
    </row>
    <row r="17" spans="3:3" ht="17" x14ac:dyDescent="0.25">
      <c r="C17" s="16" t="s">
        <v>80</v>
      </c>
    </row>
    <row r="18" spans="3:3" ht="17" x14ac:dyDescent="0.25">
      <c r="C18" s="16" t="s">
        <v>81</v>
      </c>
    </row>
    <row r="19" spans="3:3" ht="17" x14ac:dyDescent="0.25">
      <c r="C19" s="16" t="s">
        <v>82</v>
      </c>
    </row>
    <row r="20" spans="3:3" ht="17" x14ac:dyDescent="0.25">
      <c r="C20" s="16" t="s">
        <v>83</v>
      </c>
    </row>
    <row r="21" spans="3:3" ht="17" x14ac:dyDescent="0.25">
      <c r="C21" s="16" t="s">
        <v>84</v>
      </c>
    </row>
    <row r="22" spans="3:3" ht="17" x14ac:dyDescent="0.25">
      <c r="C22" s="16" t="s">
        <v>85</v>
      </c>
    </row>
    <row r="23" spans="3:3" ht="17" x14ac:dyDescent="0.25">
      <c r="C23" s="16" t="s">
        <v>86</v>
      </c>
    </row>
    <row r="24" spans="3:3" ht="17" x14ac:dyDescent="0.25">
      <c r="C24" s="16" t="s">
        <v>87</v>
      </c>
    </row>
    <row r="25" spans="3:3" ht="17" x14ac:dyDescent="0.25">
      <c r="C25" s="16" t="s">
        <v>88</v>
      </c>
    </row>
    <row r="26" spans="3:3" ht="17" x14ac:dyDescent="0.25">
      <c r="C26" s="16" t="s">
        <v>89</v>
      </c>
    </row>
    <row r="27" spans="3:3" ht="17" x14ac:dyDescent="0.25">
      <c r="C27" s="16" t="s">
        <v>90</v>
      </c>
    </row>
    <row r="28" spans="3:3" ht="17" x14ac:dyDescent="0.25">
      <c r="C28" s="16" t="s">
        <v>91</v>
      </c>
    </row>
    <row r="29" spans="3:3" ht="17" x14ac:dyDescent="0.25">
      <c r="C29" s="16" t="s">
        <v>92</v>
      </c>
    </row>
    <row r="30" spans="3:3" ht="17" x14ac:dyDescent="0.25">
      <c r="C30" s="16" t="s">
        <v>93</v>
      </c>
    </row>
    <row r="31" spans="3:3" ht="17" x14ac:dyDescent="0.25">
      <c r="C31" s="16" t="s">
        <v>94</v>
      </c>
    </row>
    <row r="32" spans="3:3" ht="17" x14ac:dyDescent="0.25">
      <c r="C32" s="16" t="s">
        <v>95</v>
      </c>
    </row>
    <row r="33" spans="3:3" ht="17" x14ac:dyDescent="0.25">
      <c r="C33" s="16" t="s">
        <v>96</v>
      </c>
    </row>
    <row r="34" spans="3:3" ht="17" x14ac:dyDescent="0.25">
      <c r="C34" s="16" t="s">
        <v>97</v>
      </c>
    </row>
    <row r="35" spans="3:3" ht="17" x14ac:dyDescent="0.25">
      <c r="C35" s="16" t="s">
        <v>98</v>
      </c>
    </row>
    <row r="36" spans="3:3" ht="17" x14ac:dyDescent="0.25">
      <c r="C36" s="16" t="s">
        <v>99</v>
      </c>
    </row>
    <row r="37" spans="3:3" ht="17" x14ac:dyDescent="0.25">
      <c r="C37" s="16" t="s">
        <v>100</v>
      </c>
    </row>
    <row r="38" spans="3:3" ht="17" x14ac:dyDescent="0.25">
      <c r="C38" s="16" t="s">
        <v>101</v>
      </c>
    </row>
    <row r="39" spans="3:3" ht="17" x14ac:dyDescent="0.25">
      <c r="C39" s="16" t="s">
        <v>102</v>
      </c>
    </row>
    <row r="40" spans="3:3" ht="17" x14ac:dyDescent="0.25">
      <c r="C40" s="16" t="s">
        <v>103</v>
      </c>
    </row>
    <row r="41" spans="3:3" ht="17" x14ac:dyDescent="0.25">
      <c r="C41" s="16" t="s">
        <v>104</v>
      </c>
    </row>
    <row r="42" spans="3:3" ht="17" x14ac:dyDescent="0.25">
      <c r="C42" s="16" t="s">
        <v>105</v>
      </c>
    </row>
    <row r="43" spans="3:3" ht="17" x14ac:dyDescent="0.25">
      <c r="C43" s="16" t="s">
        <v>106</v>
      </c>
    </row>
    <row r="44" spans="3:3" ht="17" x14ac:dyDescent="0.25">
      <c r="C44" s="16" t="s">
        <v>107</v>
      </c>
    </row>
    <row r="45" spans="3:3" ht="17" x14ac:dyDescent="0.25">
      <c r="C45" s="16" t="s">
        <v>108</v>
      </c>
    </row>
    <row r="46" spans="3:3" ht="17" x14ac:dyDescent="0.25">
      <c r="C46" s="16" t="s">
        <v>109</v>
      </c>
    </row>
    <row r="47" spans="3:3" ht="17" x14ac:dyDescent="0.25">
      <c r="C47" s="16" t="s">
        <v>110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CCD3D-4A18-9948-BA45-3DE0C9A01245}">
  <dimension ref="B1:N71"/>
  <sheetViews>
    <sheetView tabSelected="1" topLeftCell="B61" zoomScale="200" workbookViewId="0">
      <selection activeCell="H66" sqref="H66"/>
    </sheetView>
  </sheetViews>
  <sheetFormatPr baseColWidth="10" defaultRowHeight="16" x14ac:dyDescent="0.2"/>
  <cols>
    <col min="2" max="2" width="14.83203125" bestFit="1" customWidth="1"/>
    <col min="3" max="3" width="11" bestFit="1" customWidth="1"/>
    <col min="5" max="5" width="16.33203125" bestFit="1" customWidth="1"/>
    <col min="6" max="6" width="11.1640625" bestFit="1" customWidth="1"/>
    <col min="7" max="8" width="12.33203125" bestFit="1" customWidth="1"/>
    <col min="9" max="9" width="12.1640625" bestFit="1" customWidth="1"/>
    <col min="10" max="12" width="11.1640625" bestFit="1" customWidth="1"/>
    <col min="13" max="13" width="11" bestFit="1" customWidth="1"/>
  </cols>
  <sheetData>
    <row r="1" spans="2:14" x14ac:dyDescent="0.2">
      <c r="B1" s="18" t="s">
        <v>111</v>
      </c>
      <c r="C1" s="18" t="s">
        <v>29</v>
      </c>
    </row>
    <row r="2" spans="2:14" x14ac:dyDescent="0.2">
      <c r="B2" s="17">
        <v>1.1000000000000001</v>
      </c>
      <c r="C2" s="17">
        <v>39343</v>
      </c>
    </row>
    <row r="3" spans="2:14" x14ac:dyDescent="0.2">
      <c r="B3" s="17">
        <v>1.3</v>
      </c>
      <c r="C3" s="17">
        <v>46205</v>
      </c>
    </row>
    <row r="4" spans="2:14" x14ac:dyDescent="0.2">
      <c r="B4" s="17">
        <v>1.5</v>
      </c>
      <c r="C4" s="17">
        <v>37731</v>
      </c>
    </row>
    <row r="5" spans="2:14" x14ac:dyDescent="0.2">
      <c r="B5" s="17">
        <v>2</v>
      </c>
      <c r="C5" s="17">
        <v>43525</v>
      </c>
    </row>
    <row r="6" spans="2:14" x14ac:dyDescent="0.2">
      <c r="B6" s="17">
        <v>2.2000000000000002</v>
      </c>
      <c r="C6" s="17">
        <v>39891</v>
      </c>
      <c r="K6" s="2" t="s">
        <v>112</v>
      </c>
      <c r="L6" s="2"/>
      <c r="N6" t="s">
        <v>113</v>
      </c>
    </row>
    <row r="7" spans="2:14" x14ac:dyDescent="0.2">
      <c r="B7" s="17">
        <v>2.9</v>
      </c>
      <c r="C7" s="17">
        <v>56642</v>
      </c>
      <c r="K7" s="2"/>
      <c r="L7" s="2"/>
    </row>
    <row r="8" spans="2:14" x14ac:dyDescent="0.2">
      <c r="B8" s="17">
        <v>3</v>
      </c>
      <c r="C8" s="17">
        <v>60150</v>
      </c>
    </row>
    <row r="9" spans="2:14" x14ac:dyDescent="0.2">
      <c r="B9" s="17">
        <v>3.2</v>
      </c>
      <c r="C9" s="17">
        <v>54445</v>
      </c>
    </row>
    <row r="10" spans="2:14" x14ac:dyDescent="0.2">
      <c r="B10" s="17">
        <v>3.2</v>
      </c>
      <c r="C10" s="17">
        <v>64445</v>
      </c>
    </row>
    <row r="11" spans="2:14" x14ac:dyDescent="0.2">
      <c r="B11" s="17">
        <v>3.7</v>
      </c>
      <c r="C11" s="17">
        <v>57189</v>
      </c>
    </row>
    <row r="12" spans="2:14" x14ac:dyDescent="0.2">
      <c r="B12" s="17">
        <v>3.9</v>
      </c>
      <c r="C12" s="17">
        <v>63218</v>
      </c>
    </row>
    <row r="13" spans="2:14" x14ac:dyDescent="0.2">
      <c r="B13" s="17">
        <v>4</v>
      </c>
      <c r="C13" s="17">
        <v>55794</v>
      </c>
    </row>
    <row r="14" spans="2:14" x14ac:dyDescent="0.2">
      <c r="B14" s="17">
        <v>4</v>
      </c>
      <c r="C14" s="17">
        <v>56957</v>
      </c>
    </row>
    <row r="15" spans="2:14" x14ac:dyDescent="0.2">
      <c r="B15" s="17">
        <v>4.0999999999999996</v>
      </c>
      <c r="C15" s="17">
        <v>57081</v>
      </c>
    </row>
    <row r="16" spans="2:14" x14ac:dyDescent="0.2">
      <c r="B16" s="17">
        <v>4.5</v>
      </c>
      <c r="C16" s="17">
        <v>61111</v>
      </c>
    </row>
    <row r="17" spans="2:11" x14ac:dyDescent="0.2">
      <c r="B17" s="17">
        <v>4.9000000000000004</v>
      </c>
      <c r="C17" s="17">
        <v>67938</v>
      </c>
    </row>
    <row r="18" spans="2:11" x14ac:dyDescent="0.2">
      <c r="B18" s="17">
        <v>5.0999999999999996</v>
      </c>
      <c r="C18" s="17">
        <v>66029</v>
      </c>
    </row>
    <row r="19" spans="2:11" x14ac:dyDescent="0.2">
      <c r="B19" s="17">
        <v>5.3</v>
      </c>
      <c r="C19" s="17">
        <v>83088</v>
      </c>
      <c r="E19" t="s">
        <v>114</v>
      </c>
      <c r="K19" t="s">
        <v>138</v>
      </c>
    </row>
    <row r="20" spans="2:11" ht="17" thickBot="1" x14ac:dyDescent="0.25">
      <c r="B20" s="17">
        <v>5.9</v>
      </c>
      <c r="C20" s="17">
        <v>81363</v>
      </c>
      <c r="K20" t="s">
        <v>139</v>
      </c>
    </row>
    <row r="21" spans="2:11" x14ac:dyDescent="0.2">
      <c r="B21" s="17">
        <v>6</v>
      </c>
      <c r="C21" s="17">
        <v>93940</v>
      </c>
      <c r="E21" s="22" t="s">
        <v>115</v>
      </c>
      <c r="F21" s="22"/>
      <c r="K21" t="s">
        <v>140</v>
      </c>
    </row>
    <row r="22" spans="2:11" x14ac:dyDescent="0.2">
      <c r="B22" s="17">
        <v>6.8</v>
      </c>
      <c r="C22" s="17">
        <v>91738</v>
      </c>
      <c r="E22" s="19" t="s">
        <v>116</v>
      </c>
      <c r="F22" s="19">
        <v>0.9782416184887599</v>
      </c>
    </row>
    <row r="23" spans="2:11" x14ac:dyDescent="0.2">
      <c r="B23" s="17">
        <v>7.1</v>
      </c>
      <c r="C23" s="17">
        <v>98273</v>
      </c>
      <c r="E23" s="28" t="s">
        <v>117</v>
      </c>
      <c r="F23" s="28">
        <v>0.95695666414350844</v>
      </c>
    </row>
    <row r="24" spans="2:11" x14ac:dyDescent="0.2">
      <c r="B24" s="17">
        <v>7.9</v>
      </c>
      <c r="C24" s="17">
        <v>101302</v>
      </c>
      <c r="E24" s="28" t="s">
        <v>118</v>
      </c>
      <c r="F24" s="28">
        <v>0.95541940214863375</v>
      </c>
    </row>
    <row r="25" spans="2:11" x14ac:dyDescent="0.2">
      <c r="B25" s="17">
        <v>8.1999999999999993</v>
      </c>
      <c r="C25" s="17">
        <v>113812</v>
      </c>
      <c r="E25" s="19" t="s">
        <v>119</v>
      </c>
      <c r="F25" s="19">
        <v>5788.3150511193935</v>
      </c>
    </row>
    <row r="26" spans="2:11" ht="17" thickBot="1" x14ac:dyDescent="0.25">
      <c r="B26" s="17">
        <v>8.6999999999999993</v>
      </c>
      <c r="C26" s="17">
        <v>109431</v>
      </c>
      <c r="E26" s="20" t="s">
        <v>120</v>
      </c>
      <c r="F26" s="20">
        <v>30</v>
      </c>
    </row>
    <row r="27" spans="2:11" x14ac:dyDescent="0.2">
      <c r="B27" s="17">
        <v>9</v>
      </c>
      <c r="C27" s="17">
        <v>105582</v>
      </c>
    </row>
    <row r="28" spans="2:11" ht="17" thickBot="1" x14ac:dyDescent="0.25">
      <c r="B28" s="17">
        <v>9.5</v>
      </c>
      <c r="C28" s="17">
        <v>116969</v>
      </c>
      <c r="E28" t="s">
        <v>121</v>
      </c>
    </row>
    <row r="29" spans="2:11" x14ac:dyDescent="0.2">
      <c r="B29" s="17">
        <v>9.6</v>
      </c>
      <c r="C29" s="17">
        <v>112635</v>
      </c>
      <c r="E29" s="21"/>
      <c r="F29" s="21" t="s">
        <v>126</v>
      </c>
      <c r="G29" s="21" t="s">
        <v>127</v>
      </c>
      <c r="H29" s="21" t="s">
        <v>128</v>
      </c>
      <c r="I29" s="21" t="s">
        <v>129</v>
      </c>
      <c r="J29" s="21" t="s">
        <v>130</v>
      </c>
    </row>
    <row r="30" spans="2:11" x14ac:dyDescent="0.2">
      <c r="B30" s="17">
        <v>10.3</v>
      </c>
      <c r="C30" s="17">
        <v>122391</v>
      </c>
      <c r="E30" s="19" t="s">
        <v>122</v>
      </c>
      <c r="F30" s="19">
        <v>1</v>
      </c>
      <c r="G30" s="19">
        <v>20856849300.33157</v>
      </c>
      <c r="H30" s="19">
        <v>20856849300.33157</v>
      </c>
      <c r="I30" s="19">
        <v>622.50720263302401</v>
      </c>
      <c r="J30" s="19">
        <v>1.1430681092271349E-20</v>
      </c>
    </row>
    <row r="31" spans="2:11" x14ac:dyDescent="0.2">
      <c r="B31" s="17">
        <v>10.5</v>
      </c>
      <c r="C31" s="17">
        <v>121872</v>
      </c>
      <c r="E31" s="19" t="s">
        <v>123</v>
      </c>
      <c r="F31" s="19">
        <v>28</v>
      </c>
      <c r="G31" s="19">
        <v>938128551.66842878</v>
      </c>
      <c r="H31" s="19">
        <v>33504591.131015312</v>
      </c>
      <c r="I31" s="19"/>
      <c r="J31" s="19"/>
    </row>
    <row r="32" spans="2:11" ht="17" thickBot="1" x14ac:dyDescent="0.25">
      <c r="E32" s="20" t="s">
        <v>124</v>
      </c>
      <c r="F32" s="20">
        <v>29</v>
      </c>
      <c r="G32" s="20">
        <v>21794977852</v>
      </c>
      <c r="H32" s="20"/>
      <c r="I32" s="20"/>
      <c r="J32" s="20"/>
    </row>
    <row r="33" spans="5:13" ht="17" thickBot="1" x14ac:dyDescent="0.25"/>
    <row r="34" spans="5:13" x14ac:dyDescent="0.2">
      <c r="E34" s="21"/>
      <c r="F34" s="25" t="s">
        <v>131</v>
      </c>
      <c r="G34" s="21" t="s">
        <v>119</v>
      </c>
      <c r="H34" s="21" t="s">
        <v>132</v>
      </c>
      <c r="I34" s="21" t="s">
        <v>133</v>
      </c>
      <c r="J34" s="21" t="s">
        <v>134</v>
      </c>
      <c r="K34" s="21" t="s">
        <v>135</v>
      </c>
      <c r="L34" s="21" t="s">
        <v>136</v>
      </c>
      <c r="M34" s="21" t="s">
        <v>137</v>
      </c>
    </row>
    <row r="35" spans="5:13" x14ac:dyDescent="0.2">
      <c r="E35" s="19" t="s">
        <v>125</v>
      </c>
      <c r="F35" s="26">
        <v>25792.200198668696</v>
      </c>
      <c r="G35" s="19">
        <v>2273.0534325816047</v>
      </c>
      <c r="H35" s="19">
        <v>11.346939684288628</v>
      </c>
      <c r="I35" s="19">
        <v>5.5119502709561397E-12</v>
      </c>
      <c r="J35" s="19">
        <v>21136.061313686339</v>
      </c>
      <c r="K35" s="19">
        <v>30448.339083651052</v>
      </c>
      <c r="L35" s="19">
        <v>21136.061313686339</v>
      </c>
      <c r="M35" s="19">
        <v>30448.339083651052</v>
      </c>
    </row>
    <row r="36" spans="5:13" ht="17" thickBot="1" x14ac:dyDescent="0.25">
      <c r="E36" s="20" t="s">
        <v>111</v>
      </c>
      <c r="F36" s="27">
        <v>9449.9623214550757</v>
      </c>
      <c r="G36" s="20">
        <v>378.75457423882102</v>
      </c>
      <c r="H36" s="20">
        <v>24.950094240964781</v>
      </c>
      <c r="I36" s="20">
        <v>1.1430681092271349E-20</v>
      </c>
      <c r="J36" s="20">
        <v>8674.1187465966577</v>
      </c>
      <c r="K36" s="20">
        <v>10225.805896313494</v>
      </c>
      <c r="L36" s="20">
        <v>8674.1187465966577</v>
      </c>
      <c r="M36" s="20">
        <v>10225.805896313494</v>
      </c>
    </row>
    <row r="39" spans="5:13" x14ac:dyDescent="0.2">
      <c r="E39" t="s">
        <v>141</v>
      </c>
    </row>
    <row r="40" spans="5:13" x14ac:dyDescent="0.2">
      <c r="I40" t="s">
        <v>145</v>
      </c>
    </row>
    <row r="41" spans="5:13" x14ac:dyDescent="0.2">
      <c r="E41" t="s">
        <v>142</v>
      </c>
    </row>
    <row r="43" spans="5:13" x14ac:dyDescent="0.2">
      <c r="F43" s="23" t="s">
        <v>138</v>
      </c>
      <c r="G43" s="23"/>
      <c r="H43" s="23"/>
    </row>
    <row r="46" spans="5:13" x14ac:dyDescent="0.2">
      <c r="F46" t="s">
        <v>143</v>
      </c>
    </row>
    <row r="48" spans="5:13" x14ac:dyDescent="0.2">
      <c r="F48" t="s">
        <v>146</v>
      </c>
    </row>
    <row r="49" spans="4:9" x14ac:dyDescent="0.2">
      <c r="F49" t="s">
        <v>144</v>
      </c>
      <c r="I49" t="s">
        <v>148</v>
      </c>
    </row>
    <row r="51" spans="4:9" x14ac:dyDescent="0.2">
      <c r="E51" t="s">
        <v>147</v>
      </c>
    </row>
    <row r="52" spans="4:9" x14ac:dyDescent="0.2">
      <c r="E52" t="s">
        <v>149</v>
      </c>
    </row>
    <row r="54" spans="4:9" x14ac:dyDescent="0.2">
      <c r="D54" s="24"/>
      <c r="E54" s="24"/>
      <c r="F54" s="24"/>
      <c r="G54" s="24"/>
      <c r="H54" s="24"/>
      <c r="I54" s="24"/>
    </row>
    <row r="57" spans="4:9" x14ac:dyDescent="0.2">
      <c r="D57" s="30" t="s">
        <v>139</v>
      </c>
      <c r="E57" s="30"/>
      <c r="F57" s="30"/>
    </row>
    <row r="61" spans="4:9" x14ac:dyDescent="0.2">
      <c r="E61" t="str">
        <f>"SALARY = "&amp;ROUND(F35,2)&amp;" + "&amp;ROUND(F36,2)&amp;" * YOE"</f>
        <v>SALARY = 25792.2 + 9449.96 * YOE</v>
      </c>
    </row>
    <row r="65" spans="4:7" x14ac:dyDescent="0.2">
      <c r="D65" s="29" t="s">
        <v>140</v>
      </c>
      <c r="E65" s="29"/>
      <c r="F65" s="29"/>
      <c r="G65" s="29"/>
    </row>
    <row r="67" spans="4:7" x14ac:dyDescent="0.2">
      <c r="D67" t="s">
        <v>150</v>
      </c>
      <c r="E67">
        <f>F23*100</f>
        <v>95.695666414350839</v>
      </c>
    </row>
    <row r="71" spans="4:7" x14ac:dyDescent="0.2">
      <c r="D71" t="s">
        <v>151</v>
      </c>
    </row>
  </sheetData>
  <mergeCells count="1">
    <mergeCell ref="K6:L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2026-04-07T15:34:06Z</dcterms:created>
  <dcterms:modified xsi:type="dcterms:W3CDTF">2026-04-07T17:45:48Z</dcterms:modified>
</cp:coreProperties>
</file>