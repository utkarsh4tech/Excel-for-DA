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drawings/drawing2.xml" ContentType="application/vnd.openxmlformats-officedocument.drawing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4C3F2E93-7F7D-F84C-914D-0AE83240CB5E}" xr6:coauthVersionLast="47" xr6:coauthVersionMax="47" xr10:uidLastSave="{00000000-0000-0000-0000-000000000000}"/>
  <bookViews>
    <workbookView xWindow="0" yWindow="600" windowWidth="28800" windowHeight="17400" activeTab="2" xr2:uid="{FD68CDCE-3B17-C447-852D-F2008587A12C}"/>
  </bookViews>
  <sheets>
    <sheet name="agenda" sheetId="1" r:id="rId1"/>
    <sheet name="Sheet2" sheetId="2" r:id="rId2"/>
    <sheet name="Sheet3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3" l="1"/>
  <c r="J21" i="3"/>
  <c r="H21" i="3"/>
  <c r="H19" i="3"/>
  <c r="F128" i="2"/>
  <c r="E128" i="2"/>
  <c r="C128" i="2"/>
  <c r="E125" i="2"/>
  <c r="E124" i="2"/>
  <c r="G109" i="2"/>
  <c r="H110" i="2"/>
  <c r="H109" i="2"/>
  <c r="E114" i="2"/>
  <c r="D111" i="2"/>
  <c r="C111" i="2"/>
  <c r="E95" i="2"/>
  <c r="E94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72" i="2"/>
  <c r="H72" i="2"/>
  <c r="F58" i="2"/>
  <c r="E58" i="2" a="1"/>
  <c r="F57" i="2"/>
  <c r="E57" i="2"/>
  <c r="F51" i="2" a="1"/>
  <c r="G42" i="2"/>
  <c r="G32" i="2"/>
  <c r="F32" i="2"/>
  <c r="K12" i="2"/>
  <c r="K13" i="2"/>
  <c r="K14" i="2"/>
  <c r="K15" i="2"/>
  <c r="K16" i="2"/>
  <c r="K11" i="2"/>
  <c r="D28" i="2"/>
  <c r="C28" i="2"/>
  <c r="J16" i="2"/>
  <c r="J14" i="2"/>
  <c r="J11" i="2"/>
  <c r="J13" i="2"/>
  <c r="J12" i="2"/>
  <c r="J15" i="2"/>
  <c r="H12" i="2"/>
  <c r="H13" i="2"/>
  <c r="H14" i="2"/>
  <c r="H15" i="2"/>
  <c r="H16" i="2"/>
  <c r="H11" i="2"/>
  <c r="H12" i="1"/>
  <c r="F51" i="2" l="1"/>
  <c r="E58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<sst xmlns="http://schemas.openxmlformats.org/spreadsheetml/2006/main" count="66" uniqueCount="60">
  <si>
    <t>Logical Functions</t>
  </si>
  <si>
    <t>What boolean value?</t>
  </si>
  <si>
    <t>TRUE / FALSE</t>
  </si>
  <si>
    <t>1 / 0</t>
  </si>
  <si>
    <t>IF()</t>
  </si>
  <si>
    <t>IFERROR()</t>
  </si>
  <si>
    <t>M/F</t>
  </si>
  <si>
    <t>M</t>
  </si>
  <si>
    <t>F</t>
  </si>
  <si>
    <t>AGE</t>
  </si>
  <si>
    <t>Can vote or note</t>
  </si>
  <si>
    <t>Any expression which returns TRUE or FALSE</t>
  </si>
  <si>
    <t>Nested IF</t>
  </si>
  <si>
    <t>IF(CONDITION, … IF(….), IF(….))</t>
  </si>
  <si>
    <t>&lt;4L</t>
  </si>
  <si>
    <t>INCOME</t>
  </si>
  <si>
    <t>TAX%</t>
  </si>
  <si>
    <t>&gt;12L</t>
  </si>
  <si>
    <t>IFERROR</t>
  </si>
  <si>
    <t>Nr</t>
  </si>
  <si>
    <t>Dr</t>
  </si>
  <si>
    <t>÷</t>
  </si>
  <si>
    <t>SWITCH()</t>
  </si>
  <si>
    <t>Class</t>
  </si>
  <si>
    <t>first</t>
  </si>
  <si>
    <t>second</t>
  </si>
  <si>
    <t>third</t>
  </si>
  <si>
    <t>twelth</t>
  </si>
  <si>
    <t>AND</t>
  </si>
  <si>
    <t xml:space="preserve">OR </t>
  </si>
  <si>
    <t>NOT</t>
  </si>
  <si>
    <t>We want to combine multiple conditions</t>
  </si>
  <si>
    <t xml:space="preserve">Condition 1 </t>
  </si>
  <si>
    <t>Condition 2</t>
  </si>
  <si>
    <t>Changes the condition to opposite</t>
  </si>
  <si>
    <t>if any condition becomes true, OR o/p TRUE</t>
  </si>
  <si>
    <t>Condition 3</t>
  </si>
  <si>
    <t>Condition 4</t>
  </si>
  <si>
    <t>All conditions must be True for o/P to be True</t>
  </si>
  <si>
    <t>OR</t>
  </si>
  <si>
    <t>only 1 i/p</t>
  </si>
  <si>
    <t>Cond</t>
  </si>
  <si>
    <t>NOT(COND)</t>
  </si>
  <si>
    <t>Num</t>
  </si>
  <si>
    <t>ODD?</t>
  </si>
  <si>
    <t>EVEN?</t>
  </si>
  <si>
    <t>isNA</t>
  </si>
  <si>
    <t>isBlank</t>
  </si>
  <si>
    <t>No value present</t>
  </si>
  <si>
    <t>is Not available N/A!</t>
  </si>
  <si>
    <t>twtwt</t>
  </si>
  <si>
    <t>Num?</t>
  </si>
  <si>
    <t>Text?</t>
  </si>
  <si>
    <t xml:space="preserve">Population </t>
  </si>
  <si>
    <t>Sample</t>
  </si>
  <si>
    <t>entire required / responsible data</t>
  </si>
  <si>
    <t>Actual data collected during study</t>
  </si>
  <si>
    <t>\</t>
  </si>
  <si>
    <t>VAR.P</t>
  </si>
  <si>
    <t>VAR.S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</si>
</sst>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9" fontId="0" fillId="0" borderId="0" xfId="0" applyNumberFormat="1"/>
    <xf numFmtId="9" fontId="0" fillId="0" borderId="0" xfId="1" applyFont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0" fontId="0" fillId="6" borderId="1" xfId="0" applyFill="1" applyBorder="1"/>
    <xf numFmtId="0" fontId="0" fillId="0" borderId="1" xfId="0" applyFill="1" applyBorder="1"/>
    <xf numFmtId="0" fontId="0" fillId="7" borderId="0" xfId="0" applyFill="1"/>
    <xf numFmtId="0" fontId="0" fillId="0" borderId="0" xfId="0" applyAlignment="1">
      <alignment horizontal="right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customXml" Target="../ink/ink6.xml"/><Relationship Id="rId18" Type="http://schemas.openxmlformats.org/officeDocument/2006/relationships/image" Target="../media/image10.png"/><Relationship Id="rId3" Type="http://schemas.openxmlformats.org/officeDocument/2006/relationships/customXml" Target="../ink/ink1.xml"/><Relationship Id="rId21" Type="http://schemas.openxmlformats.org/officeDocument/2006/relationships/customXml" Target="../ink/ink10.xml"/><Relationship Id="rId7" Type="http://schemas.openxmlformats.org/officeDocument/2006/relationships/customXml" Target="../ink/ink3.xml"/><Relationship Id="rId12" Type="http://schemas.openxmlformats.org/officeDocument/2006/relationships/image" Target="../media/image7.png"/><Relationship Id="rId17" Type="http://schemas.openxmlformats.org/officeDocument/2006/relationships/customXml" Target="../ink/ink8.xml"/><Relationship Id="rId2" Type="http://schemas.openxmlformats.org/officeDocument/2006/relationships/image" Target="../media/image2.png"/><Relationship Id="rId16" Type="http://schemas.openxmlformats.org/officeDocument/2006/relationships/image" Target="../media/image9.png"/><Relationship Id="rId20" Type="http://schemas.openxmlformats.org/officeDocument/2006/relationships/image" Target="../media/image11.png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11" Type="http://schemas.openxmlformats.org/officeDocument/2006/relationships/customXml" Target="../ink/ink5.xml"/><Relationship Id="rId24" Type="http://schemas.openxmlformats.org/officeDocument/2006/relationships/image" Target="../media/image13.png"/><Relationship Id="rId5" Type="http://schemas.openxmlformats.org/officeDocument/2006/relationships/customXml" Target="../ink/ink2.xml"/><Relationship Id="rId15" Type="http://schemas.openxmlformats.org/officeDocument/2006/relationships/customXml" Target="../ink/ink7.xml"/><Relationship Id="rId23" Type="http://schemas.openxmlformats.org/officeDocument/2006/relationships/customXml" Target="../ink/ink11.xml"/><Relationship Id="rId10" Type="http://schemas.openxmlformats.org/officeDocument/2006/relationships/image" Target="../media/image6.png"/><Relationship Id="rId19" Type="http://schemas.openxmlformats.org/officeDocument/2006/relationships/customXml" Target="../ink/ink9.xml"/><Relationship Id="rId4" Type="http://schemas.openxmlformats.org/officeDocument/2006/relationships/image" Target="../media/image3.png"/><Relationship Id="rId9" Type="http://schemas.openxmlformats.org/officeDocument/2006/relationships/customXml" Target="../ink/ink4.xml"/><Relationship Id="rId14" Type="http://schemas.openxmlformats.org/officeDocument/2006/relationships/image" Target="../media/image8.png"/><Relationship Id="rId22" Type="http://schemas.openxmlformats.org/officeDocument/2006/relationships/image" Target="../media/image12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ustomXml" Target="../ink/ink18.xml"/><Relationship Id="rId18" Type="http://schemas.openxmlformats.org/officeDocument/2006/relationships/image" Target="../media/image22.png"/><Relationship Id="rId26" Type="http://schemas.openxmlformats.org/officeDocument/2006/relationships/image" Target="../media/image26.png"/><Relationship Id="rId39" Type="http://schemas.openxmlformats.org/officeDocument/2006/relationships/customXml" Target="../ink/ink31.xml"/><Relationship Id="rId21" Type="http://schemas.openxmlformats.org/officeDocument/2006/relationships/customXml" Target="../ink/ink22.xml"/><Relationship Id="rId34" Type="http://schemas.openxmlformats.org/officeDocument/2006/relationships/image" Target="../media/image30.png"/><Relationship Id="rId42" Type="http://schemas.openxmlformats.org/officeDocument/2006/relationships/image" Target="../media/image34.png"/><Relationship Id="rId47" Type="http://schemas.openxmlformats.org/officeDocument/2006/relationships/customXml" Target="../ink/ink35.xml"/><Relationship Id="rId50" Type="http://schemas.openxmlformats.org/officeDocument/2006/relationships/image" Target="../media/image38.png"/><Relationship Id="rId7" Type="http://schemas.openxmlformats.org/officeDocument/2006/relationships/customXml" Target="../ink/ink15.xml"/><Relationship Id="rId2" Type="http://schemas.openxmlformats.org/officeDocument/2006/relationships/image" Target="../media/image14.png"/><Relationship Id="rId16" Type="http://schemas.openxmlformats.org/officeDocument/2006/relationships/image" Target="../media/image21.png"/><Relationship Id="rId29" Type="http://schemas.openxmlformats.org/officeDocument/2006/relationships/customXml" Target="../ink/ink26.xml"/><Relationship Id="rId11" Type="http://schemas.openxmlformats.org/officeDocument/2006/relationships/customXml" Target="../ink/ink17.xml"/><Relationship Id="rId24" Type="http://schemas.openxmlformats.org/officeDocument/2006/relationships/image" Target="../media/image25.png"/><Relationship Id="rId32" Type="http://schemas.openxmlformats.org/officeDocument/2006/relationships/image" Target="../media/image29.png"/><Relationship Id="rId37" Type="http://schemas.openxmlformats.org/officeDocument/2006/relationships/customXml" Target="../ink/ink30.xml"/><Relationship Id="rId40" Type="http://schemas.openxmlformats.org/officeDocument/2006/relationships/image" Target="../media/image33.png"/><Relationship Id="rId45" Type="http://schemas.openxmlformats.org/officeDocument/2006/relationships/customXml" Target="../ink/ink34.xml"/><Relationship Id="rId5" Type="http://schemas.openxmlformats.org/officeDocument/2006/relationships/customXml" Target="../ink/ink14.xml"/><Relationship Id="rId15" Type="http://schemas.openxmlformats.org/officeDocument/2006/relationships/customXml" Target="../ink/ink19.xml"/><Relationship Id="rId23" Type="http://schemas.openxmlformats.org/officeDocument/2006/relationships/customXml" Target="../ink/ink23.xml"/><Relationship Id="rId28" Type="http://schemas.openxmlformats.org/officeDocument/2006/relationships/image" Target="../media/image27.png"/><Relationship Id="rId36" Type="http://schemas.openxmlformats.org/officeDocument/2006/relationships/image" Target="../media/image31.png"/><Relationship Id="rId49" Type="http://schemas.openxmlformats.org/officeDocument/2006/relationships/customXml" Target="../ink/ink36.xml"/><Relationship Id="rId10" Type="http://schemas.openxmlformats.org/officeDocument/2006/relationships/image" Target="../media/image18.png"/><Relationship Id="rId19" Type="http://schemas.openxmlformats.org/officeDocument/2006/relationships/customXml" Target="../ink/ink21.xml"/><Relationship Id="rId31" Type="http://schemas.openxmlformats.org/officeDocument/2006/relationships/customXml" Target="../ink/ink27.xml"/><Relationship Id="rId44" Type="http://schemas.openxmlformats.org/officeDocument/2006/relationships/image" Target="../media/image35.png"/><Relationship Id="rId52" Type="http://schemas.openxmlformats.org/officeDocument/2006/relationships/image" Target="../media/image39.png"/><Relationship Id="rId4" Type="http://schemas.openxmlformats.org/officeDocument/2006/relationships/image" Target="../media/image15.png"/><Relationship Id="rId9" Type="http://schemas.openxmlformats.org/officeDocument/2006/relationships/customXml" Target="../ink/ink16.xml"/><Relationship Id="rId14" Type="http://schemas.openxmlformats.org/officeDocument/2006/relationships/image" Target="../media/image20.png"/><Relationship Id="rId22" Type="http://schemas.openxmlformats.org/officeDocument/2006/relationships/image" Target="../media/image24.png"/><Relationship Id="rId27" Type="http://schemas.openxmlformats.org/officeDocument/2006/relationships/customXml" Target="../ink/ink25.xml"/><Relationship Id="rId30" Type="http://schemas.openxmlformats.org/officeDocument/2006/relationships/image" Target="../media/image28.png"/><Relationship Id="rId35" Type="http://schemas.openxmlformats.org/officeDocument/2006/relationships/customXml" Target="../ink/ink29.xml"/><Relationship Id="rId43" Type="http://schemas.openxmlformats.org/officeDocument/2006/relationships/customXml" Target="../ink/ink33.xml"/><Relationship Id="rId48" Type="http://schemas.openxmlformats.org/officeDocument/2006/relationships/image" Target="../media/image37.png"/><Relationship Id="rId8" Type="http://schemas.openxmlformats.org/officeDocument/2006/relationships/image" Target="../media/image17.png"/><Relationship Id="rId51" Type="http://schemas.openxmlformats.org/officeDocument/2006/relationships/customXml" Target="../ink/ink37.xml"/><Relationship Id="rId3" Type="http://schemas.openxmlformats.org/officeDocument/2006/relationships/customXml" Target="../ink/ink13.xml"/><Relationship Id="rId12" Type="http://schemas.openxmlformats.org/officeDocument/2006/relationships/image" Target="../media/image19.png"/><Relationship Id="rId17" Type="http://schemas.openxmlformats.org/officeDocument/2006/relationships/customXml" Target="../ink/ink20.xml"/><Relationship Id="rId25" Type="http://schemas.openxmlformats.org/officeDocument/2006/relationships/customXml" Target="../ink/ink24.xml"/><Relationship Id="rId33" Type="http://schemas.openxmlformats.org/officeDocument/2006/relationships/customXml" Target="../ink/ink28.xml"/><Relationship Id="rId38" Type="http://schemas.openxmlformats.org/officeDocument/2006/relationships/image" Target="../media/image32.png"/><Relationship Id="rId46" Type="http://schemas.openxmlformats.org/officeDocument/2006/relationships/image" Target="../media/image36.png"/><Relationship Id="rId20" Type="http://schemas.openxmlformats.org/officeDocument/2006/relationships/image" Target="../media/image23.png"/><Relationship Id="rId41" Type="http://schemas.openxmlformats.org/officeDocument/2006/relationships/customXml" Target="../ink/ink32.xml"/><Relationship Id="rId1" Type="http://schemas.openxmlformats.org/officeDocument/2006/relationships/customXml" Target="../ink/ink12.xml"/><Relationship Id="rId6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0</xdr:rowOff>
    </xdr:from>
    <xdr:to>
      <xdr:col>5</xdr:col>
      <xdr:colOff>721932</xdr:colOff>
      <xdr:row>16</xdr:row>
      <xdr:rowOff>2862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73F658-77CC-A06D-39CF-F36241584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2817" y="2027230"/>
          <a:ext cx="4013200" cy="1219200"/>
        </a:xfrm>
        <a:prstGeom prst="rect">
          <a:avLst/>
        </a:prstGeom>
      </xdr:spPr>
    </xdr:pic>
    <xdr:clientData/>
  </xdr:twoCellAnchor>
  <xdr:twoCellAnchor editAs="oneCell">
    <xdr:from>
      <xdr:col>3</xdr:col>
      <xdr:colOff>728359</xdr:colOff>
      <xdr:row>99</xdr:row>
      <xdr:rowOff>107785</xdr:rowOff>
    </xdr:from>
    <xdr:to>
      <xdr:col>5</xdr:col>
      <xdr:colOff>184921</xdr:colOff>
      <xdr:row>107</xdr:row>
      <xdr:rowOff>3186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71CF03-3A83-C2A2-E820-E38CA2318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02750" y="20057564"/>
          <a:ext cx="1106156" cy="1507504"/>
        </a:xfrm>
        <a:prstGeom prst="rect">
          <a:avLst/>
        </a:prstGeom>
      </xdr:spPr>
    </xdr:pic>
    <xdr:clientData/>
  </xdr:twoCellAnchor>
  <xdr:twoCellAnchor editAs="oneCell">
    <xdr:from>
      <xdr:col>4</xdr:col>
      <xdr:colOff>52412</xdr:colOff>
      <xdr:row>100</xdr:row>
      <xdr:rowOff>184028</xdr:rowOff>
    </xdr:from>
    <xdr:to>
      <xdr:col>4</xdr:col>
      <xdr:colOff>206132</xdr:colOff>
      <xdr:row>101</xdr:row>
      <xdr:rowOff>69276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D63E604-41C5-D846-BF0A-7D164FB2C1A6}"/>
                </a:ext>
              </a:extLst>
            </xdr14:cNvPr>
            <xdr14:cNvContentPartPr/>
          </xdr14:nvContentPartPr>
          <xdr14:nvPr macro=""/>
          <xdr14:xfrm>
            <a:off x="3351600" y="20335320"/>
            <a:ext cx="153720" cy="8676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9D63E604-41C5-D846-BF0A-7D164FB2C1A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345480" y="20329200"/>
              <a:ext cx="165960" cy="9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107132</xdr:colOff>
      <xdr:row>101</xdr:row>
      <xdr:rowOff>199236</xdr:rowOff>
    </xdr:from>
    <xdr:to>
      <xdr:col>4</xdr:col>
      <xdr:colOff>220532</xdr:colOff>
      <xdr:row>102</xdr:row>
      <xdr:rowOff>35523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68237043-0B12-74BC-8F66-0E63F97285DD}"/>
                </a:ext>
              </a:extLst>
            </xdr14:cNvPr>
            <xdr14:cNvContentPartPr/>
          </xdr14:nvContentPartPr>
          <xdr14:nvPr macro=""/>
          <xdr14:xfrm>
            <a:off x="3406320" y="20552040"/>
            <a:ext cx="113400" cy="3780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68237043-0B12-74BC-8F66-0E63F97285D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3400200" y="20545920"/>
              <a:ext cx="125640" cy="5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62492</xdr:colOff>
      <xdr:row>103</xdr:row>
      <xdr:rowOff>161250</xdr:rowOff>
    </xdr:from>
    <xdr:to>
      <xdr:col>4</xdr:col>
      <xdr:colOff>235292</xdr:colOff>
      <xdr:row>104</xdr:row>
      <xdr:rowOff>47937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D4B2596C-1D14-CB91-37E3-17DA0356C04A}"/>
                </a:ext>
              </a:extLst>
            </xdr14:cNvPr>
            <xdr14:cNvContentPartPr/>
          </xdr14:nvContentPartPr>
          <xdr14:nvPr macro=""/>
          <xdr14:xfrm>
            <a:off x="3361680" y="20917080"/>
            <a:ext cx="172800" cy="8820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D4B2596C-1D14-CB91-37E3-17DA0356C04A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355560" y="20910960"/>
              <a:ext cx="185040" cy="100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569372</xdr:colOff>
      <xdr:row>101</xdr:row>
      <xdr:rowOff>43716</xdr:rowOff>
    </xdr:from>
    <xdr:to>
      <xdr:col>5</xdr:col>
      <xdr:colOff>233455</xdr:colOff>
      <xdr:row>102</xdr:row>
      <xdr:rowOff>13923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12C67787-2B95-B71B-5B6D-EDC1F5144711}"/>
                </a:ext>
              </a:extLst>
            </xdr14:cNvPr>
            <xdr14:cNvContentPartPr/>
          </xdr14:nvContentPartPr>
          <xdr14:nvPr macro=""/>
          <xdr14:xfrm>
            <a:off x="3868560" y="20396520"/>
            <a:ext cx="488880" cy="17172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12C67787-2B95-B71B-5B6D-EDC1F5144711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862440" y="20390400"/>
              <a:ext cx="501120" cy="183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546692</xdr:colOff>
      <xdr:row>102</xdr:row>
      <xdr:rowOff>111843</xdr:rowOff>
    </xdr:from>
    <xdr:to>
      <xdr:col>5</xdr:col>
      <xdr:colOff>261535</xdr:colOff>
      <xdr:row>103</xdr:row>
      <xdr:rowOff>126330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F69EC499-7EDC-50E2-8272-358081E063CF}"/>
                </a:ext>
              </a:extLst>
            </xdr14:cNvPr>
            <xdr14:cNvContentPartPr/>
          </xdr14:nvContentPartPr>
          <xdr14:nvPr macro=""/>
          <xdr14:xfrm>
            <a:off x="3845880" y="20666160"/>
            <a:ext cx="539640" cy="21600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F69EC499-7EDC-50E2-8272-358081E063CF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839760" y="20660040"/>
              <a:ext cx="551880" cy="22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459572</xdr:colOff>
      <xdr:row>106</xdr:row>
      <xdr:rowOff>71151</xdr:rowOff>
    </xdr:from>
    <xdr:to>
      <xdr:col>5</xdr:col>
      <xdr:colOff>316615</xdr:colOff>
      <xdr:row>106</xdr:row>
      <xdr:rowOff>74751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85A2805C-3E59-A8A6-C966-B883BFE19101}"/>
                </a:ext>
              </a:extLst>
            </xdr14:cNvPr>
            <xdr14:cNvContentPartPr/>
          </xdr14:nvContentPartPr>
          <xdr14:nvPr macro=""/>
          <xdr14:xfrm>
            <a:off x="3758760" y="21431520"/>
            <a:ext cx="681840" cy="360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85A2805C-3E59-A8A6-C966-B883BFE19101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752640" y="21425400"/>
              <a:ext cx="694080" cy="1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59612</xdr:colOff>
      <xdr:row>104</xdr:row>
      <xdr:rowOff>161337</xdr:rowOff>
    </xdr:from>
    <xdr:to>
      <xdr:col>4</xdr:col>
      <xdr:colOff>770972</xdr:colOff>
      <xdr:row>105</xdr:row>
      <xdr:rowOff>75384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D4FDE7ED-54AF-A709-098E-DFB36B22CA56}"/>
                </a:ext>
              </a:extLst>
            </xdr14:cNvPr>
            <xdr14:cNvContentPartPr/>
          </xdr14:nvContentPartPr>
          <xdr14:nvPr macro=""/>
          <xdr14:xfrm>
            <a:off x="3358800" y="21118680"/>
            <a:ext cx="711360" cy="115560"/>
          </xdr14:xfrm>
        </xdr:contentPart>
      </mc:Choice>
      <mc:Fallback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D4FDE7ED-54AF-A709-098E-DFB36B22CA56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352680" y="21112560"/>
              <a:ext cx="723600" cy="127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747609</xdr:colOff>
      <xdr:row>101</xdr:row>
      <xdr:rowOff>127596</xdr:rowOff>
    </xdr:from>
    <xdr:to>
      <xdr:col>4</xdr:col>
      <xdr:colOff>133052</xdr:colOff>
      <xdr:row>101</xdr:row>
      <xdr:rowOff>198516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781DE94F-ABB0-985D-4844-D629719662EA}"/>
                </a:ext>
              </a:extLst>
            </xdr14:cNvPr>
            <xdr14:cNvContentPartPr/>
          </xdr14:nvContentPartPr>
          <xdr14:nvPr macro=""/>
          <xdr14:xfrm>
            <a:off x="3222000" y="20480400"/>
            <a:ext cx="210240" cy="70920"/>
          </xdr14:xfrm>
        </xdr:contentPart>
      </mc:Choice>
      <mc:Fallback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781DE94F-ABB0-985D-4844-D629719662EA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3215880" y="20474280"/>
              <a:ext cx="222480" cy="83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764169</xdr:colOff>
      <xdr:row>102</xdr:row>
      <xdr:rowOff>49203</xdr:rowOff>
    </xdr:from>
    <xdr:to>
      <xdr:col>4</xdr:col>
      <xdr:colOff>57092</xdr:colOff>
      <xdr:row>102</xdr:row>
      <xdr:rowOff>132003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DB69A778-1D42-E7B3-62C5-1DEA5C0A3BBA}"/>
                </a:ext>
              </a:extLst>
            </xdr14:cNvPr>
            <xdr14:cNvContentPartPr/>
          </xdr14:nvContentPartPr>
          <xdr14:nvPr macro=""/>
          <xdr14:xfrm>
            <a:off x="3238560" y="20603520"/>
            <a:ext cx="117720" cy="82800"/>
          </xdr14:xfrm>
        </xdr:contentPart>
      </mc:Choice>
      <mc:Fallback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DB69A778-1D42-E7B3-62C5-1DEA5C0A3BBA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232440" y="20597400"/>
              <a:ext cx="129960" cy="9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605409</xdr:colOff>
      <xdr:row>103</xdr:row>
      <xdr:rowOff>42450</xdr:rowOff>
    </xdr:from>
    <xdr:to>
      <xdr:col>3</xdr:col>
      <xdr:colOff>805569</xdr:colOff>
      <xdr:row>103</xdr:row>
      <xdr:rowOff>123810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9F20AAE1-CA1A-8E76-0334-A5FE34AD26A9}"/>
                </a:ext>
              </a:extLst>
            </xdr14:cNvPr>
            <xdr14:cNvContentPartPr/>
          </xdr14:nvContentPartPr>
          <xdr14:nvPr macro=""/>
          <xdr14:xfrm>
            <a:off x="3079800" y="20798280"/>
            <a:ext cx="200160" cy="81360"/>
          </xdr14:xfrm>
        </xdr:contentPart>
      </mc:Choice>
      <mc:Fallback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9F20AAE1-CA1A-8E76-0334-A5FE34AD26A9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073680" y="20792133"/>
              <a:ext cx="212400" cy="936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671289</xdr:colOff>
      <xdr:row>104</xdr:row>
      <xdr:rowOff>99417</xdr:rowOff>
    </xdr:from>
    <xdr:to>
      <xdr:col>3</xdr:col>
      <xdr:colOff>771369</xdr:colOff>
      <xdr:row>104</xdr:row>
      <xdr:rowOff>123537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41" name="Ink 40">
              <a:extLst>
                <a:ext uri="{FF2B5EF4-FFF2-40B4-BE49-F238E27FC236}">
                  <a16:creationId xmlns:a16="http://schemas.microsoft.com/office/drawing/2014/main" id="{171E5623-FBFF-50F3-19CE-B7146A8FC18D}"/>
                </a:ext>
              </a:extLst>
            </xdr14:cNvPr>
            <xdr14:cNvContentPartPr/>
          </xdr14:nvContentPartPr>
          <xdr14:nvPr macro=""/>
          <xdr14:xfrm>
            <a:off x="3145680" y="21056760"/>
            <a:ext cx="100080" cy="24120"/>
          </xdr14:xfrm>
        </xdr:contentPart>
      </mc:Choice>
      <mc:Fallback>
        <xdr:pic>
          <xdr:nvPicPr>
            <xdr:cNvPr id="41" name="Ink 40">
              <a:extLst>
                <a:ext uri="{FF2B5EF4-FFF2-40B4-BE49-F238E27FC236}">
                  <a16:creationId xmlns:a16="http://schemas.microsoft.com/office/drawing/2014/main" id="{171E5623-FBFF-50F3-19CE-B7146A8FC18D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139560" y="21050640"/>
              <a:ext cx="112320" cy="363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132386</xdr:colOff>
      <xdr:row>19</xdr:row>
      <xdr:rowOff>26305</xdr:rowOff>
    </xdr:from>
    <xdr:to>
      <xdr:col>4</xdr:col>
      <xdr:colOff>372053</xdr:colOff>
      <xdr:row>27</xdr:row>
      <xdr:rowOff>51875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443B450-65CE-5A13-BE14-F1966F71895C}"/>
                </a:ext>
              </a:extLst>
            </xdr14:cNvPr>
            <xdr14:cNvContentPartPr/>
          </xdr14:nvContentPartPr>
          <xdr14:nvPr macro=""/>
          <xdr14:xfrm>
            <a:off x="1780200" y="3918240"/>
            <a:ext cx="1887480" cy="166428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443B450-65CE-5A13-BE14-F1966F71895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74089" y="3912163"/>
              <a:ext cx="1899701" cy="167643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299920</xdr:colOff>
      <xdr:row>20</xdr:row>
      <xdr:rowOff>20546</xdr:rowOff>
    </xdr:from>
    <xdr:to>
      <xdr:col>3</xdr:col>
      <xdr:colOff>635800</xdr:colOff>
      <xdr:row>21</xdr:row>
      <xdr:rowOff>149067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8A94815B-9FB6-DD98-A4DB-F452A3AEE1AC}"/>
                </a:ext>
              </a:extLst>
            </xdr14:cNvPr>
            <xdr14:cNvContentPartPr/>
          </xdr14:nvContentPartPr>
          <xdr14:nvPr macro=""/>
          <xdr14:xfrm>
            <a:off x="2771640" y="4117320"/>
            <a:ext cx="335880" cy="33336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A94815B-9FB6-DD98-A4DB-F452A3AEE1A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762640" y="4108680"/>
              <a:ext cx="353520" cy="35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504040</xdr:colOff>
      <xdr:row>18</xdr:row>
      <xdr:rowOff>172823</xdr:rowOff>
    </xdr:from>
    <xdr:to>
      <xdr:col>5</xdr:col>
      <xdr:colOff>302706</xdr:colOff>
      <xdr:row>20</xdr:row>
      <xdr:rowOff>159866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808A2EEB-7778-7962-3481-A2981F6C59CD}"/>
                </a:ext>
              </a:extLst>
            </xdr14:cNvPr>
            <xdr14:cNvContentPartPr/>
          </xdr14:nvContentPartPr>
          <xdr14:nvPr macro=""/>
          <xdr14:xfrm>
            <a:off x="2975760" y="3859920"/>
            <a:ext cx="1446480" cy="39672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808A2EEB-7778-7962-3481-A2981F6C59C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966762" y="3851280"/>
              <a:ext cx="1464116" cy="41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311306</xdr:colOff>
      <xdr:row>19</xdr:row>
      <xdr:rowOff>199105</xdr:rowOff>
    </xdr:from>
    <xdr:to>
      <xdr:col>4</xdr:col>
      <xdr:colOff>217613</xdr:colOff>
      <xdr:row>26</xdr:row>
      <xdr:rowOff>62674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33397E0C-D9A7-1B5F-B251-625A178BF9F0}"/>
                </a:ext>
              </a:extLst>
            </xdr14:cNvPr>
            <xdr14:cNvContentPartPr/>
          </xdr14:nvContentPartPr>
          <xdr14:nvPr macro=""/>
          <xdr14:xfrm>
            <a:off x="1959120" y="4091040"/>
            <a:ext cx="1554120" cy="129744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33397E0C-D9A7-1B5F-B251-625A178BF9F0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950496" y="4037471"/>
              <a:ext cx="1571727" cy="140422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661946</xdr:colOff>
      <xdr:row>19</xdr:row>
      <xdr:rowOff>168505</xdr:rowOff>
    </xdr:from>
    <xdr:to>
      <xdr:col>3</xdr:col>
      <xdr:colOff>547600</xdr:colOff>
      <xdr:row>21</xdr:row>
      <xdr:rowOff>18387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87258637-2C3C-5BE7-8910-451ED33C5EF5}"/>
                </a:ext>
              </a:extLst>
            </xdr14:cNvPr>
            <xdr14:cNvContentPartPr/>
          </xdr14:nvContentPartPr>
          <xdr14:nvPr macro=""/>
          <xdr14:xfrm>
            <a:off x="2309760" y="4060440"/>
            <a:ext cx="709560" cy="25956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87258637-2C3C-5BE7-8910-451ED33C5EF5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300765" y="4006725"/>
              <a:ext cx="727191" cy="36735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479066</xdr:colOff>
      <xdr:row>24</xdr:row>
      <xdr:rowOff>146911</xdr:rowOff>
    </xdr:from>
    <xdr:to>
      <xdr:col>3</xdr:col>
      <xdr:colOff>13360</xdr:colOff>
      <xdr:row>25</xdr:row>
      <xdr:rowOff>150872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0BF8E6EE-FD4B-4A72-0536-8EE971A63054}"/>
                </a:ext>
              </a:extLst>
            </xdr14:cNvPr>
            <xdr14:cNvContentPartPr/>
          </xdr14:nvContentPartPr>
          <xdr14:nvPr macro=""/>
          <xdr14:xfrm>
            <a:off x="2126880" y="5063040"/>
            <a:ext cx="358200" cy="20880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0BF8E6EE-FD4B-4A72-0536-8EE971A6305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117880" y="5054040"/>
              <a:ext cx="375840" cy="22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564746</xdr:colOff>
      <xdr:row>31</xdr:row>
      <xdr:rowOff>85360</xdr:rowOff>
    </xdr:from>
    <xdr:to>
      <xdr:col>2</xdr:col>
      <xdr:colOff>812066</xdr:colOff>
      <xdr:row>33</xdr:row>
      <xdr:rowOff>53683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557BBC3B-D2DC-A6C9-5920-F407F27298FB}"/>
                </a:ext>
              </a:extLst>
            </xdr14:cNvPr>
            <xdr14:cNvContentPartPr/>
          </xdr14:nvContentPartPr>
          <xdr14:nvPr macro=""/>
          <xdr14:xfrm>
            <a:off x="2212560" y="6435360"/>
            <a:ext cx="247320" cy="37800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557BBC3B-D2DC-A6C9-5920-F407F27298F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203920" y="6426720"/>
              <a:ext cx="264960" cy="395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76626</xdr:colOff>
      <xdr:row>31</xdr:row>
      <xdr:rowOff>88960</xdr:rowOff>
    </xdr:from>
    <xdr:to>
      <xdr:col>5</xdr:col>
      <xdr:colOff>446706</xdr:colOff>
      <xdr:row>32</xdr:row>
      <xdr:rowOff>174281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CAF93C0A-1C98-B2AF-EF25-3E965298AE50}"/>
                </a:ext>
              </a:extLst>
            </xdr14:cNvPr>
            <xdr14:cNvContentPartPr/>
          </xdr14:nvContentPartPr>
          <xdr14:nvPr macro=""/>
          <xdr14:xfrm>
            <a:off x="4196160" y="6438960"/>
            <a:ext cx="370080" cy="29016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CAF93C0A-1C98-B2AF-EF25-3E965298AE50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4187520" y="6430320"/>
              <a:ext cx="387720" cy="307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77800</xdr:colOff>
      <xdr:row>28</xdr:row>
      <xdr:rowOff>51156</xdr:rowOff>
    </xdr:from>
    <xdr:to>
      <xdr:col>5</xdr:col>
      <xdr:colOff>91026</xdr:colOff>
      <xdr:row>31</xdr:row>
      <xdr:rowOff>42880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A37FA367-884C-A285-25A4-5A751FFFF957}"/>
                </a:ext>
              </a:extLst>
            </xdr14:cNvPr>
            <xdr14:cNvContentPartPr/>
          </xdr14:nvContentPartPr>
          <xdr14:nvPr macro=""/>
          <xdr14:xfrm>
            <a:off x="2549520" y="5786640"/>
            <a:ext cx="1661040" cy="606240"/>
          </xdr14:xfrm>
        </xdr:contentPart>
      </mc:Choice>
      <mc:Fallback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A37FA367-884C-A285-25A4-5A751FFFF957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543400" y="5780520"/>
              <a:ext cx="1673280" cy="618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459986</xdr:colOff>
      <xdr:row>32</xdr:row>
      <xdr:rowOff>198041</xdr:rowOff>
    </xdr:from>
    <xdr:to>
      <xdr:col>5</xdr:col>
      <xdr:colOff>315306</xdr:colOff>
      <xdr:row>36</xdr:row>
      <xdr:rowOff>104806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770AC823-84B0-8694-617A-66AD71699C29}"/>
                </a:ext>
              </a:extLst>
            </xdr14:cNvPr>
            <xdr14:cNvContentPartPr/>
          </xdr14:nvContentPartPr>
          <xdr14:nvPr macro=""/>
          <xdr14:xfrm>
            <a:off x="2107800" y="6752880"/>
            <a:ext cx="2327040" cy="726120"/>
          </xdr14:xfrm>
        </xdr:contentPart>
      </mc:Choice>
      <mc:Fallback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770AC823-84B0-8694-617A-66AD71699C29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101681" y="6746757"/>
              <a:ext cx="2339278" cy="7383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102866</xdr:colOff>
      <xdr:row>39</xdr:row>
      <xdr:rowOff>130370</xdr:rowOff>
    </xdr:from>
    <xdr:to>
      <xdr:col>4</xdr:col>
      <xdr:colOff>621533</xdr:colOff>
      <xdr:row>42</xdr:row>
      <xdr:rowOff>49014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62" name="Ink 61">
              <a:extLst>
                <a:ext uri="{FF2B5EF4-FFF2-40B4-BE49-F238E27FC236}">
                  <a16:creationId xmlns:a16="http://schemas.microsoft.com/office/drawing/2014/main" id="{B5AC59E2-5D75-4C54-3B23-910730FE41D5}"/>
                </a:ext>
              </a:extLst>
            </xdr14:cNvPr>
            <xdr14:cNvContentPartPr/>
          </xdr14:nvContentPartPr>
          <xdr14:nvPr macro=""/>
          <xdr14:xfrm>
            <a:off x="1750680" y="8119080"/>
            <a:ext cx="2166480" cy="533160"/>
          </xdr14:xfrm>
        </xdr:contentPart>
      </mc:Choice>
      <mc:Fallback>
        <xdr:pic>
          <xdr:nvPicPr>
            <xdr:cNvPr id="62" name="Ink 61">
              <a:extLst>
                <a:ext uri="{FF2B5EF4-FFF2-40B4-BE49-F238E27FC236}">
                  <a16:creationId xmlns:a16="http://schemas.microsoft.com/office/drawing/2014/main" id="{B5AC59E2-5D75-4C54-3B23-910730FE41D5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1744560" y="8112964"/>
              <a:ext cx="2178720" cy="54539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75146</xdr:colOff>
      <xdr:row>44</xdr:row>
      <xdr:rowOff>40017</xdr:rowOff>
    </xdr:from>
    <xdr:to>
      <xdr:col>5</xdr:col>
      <xdr:colOff>169866</xdr:colOff>
      <xdr:row>46</xdr:row>
      <xdr:rowOff>61619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73" name="Ink 72">
              <a:extLst>
                <a:ext uri="{FF2B5EF4-FFF2-40B4-BE49-F238E27FC236}">
                  <a16:creationId xmlns:a16="http://schemas.microsoft.com/office/drawing/2014/main" id="{6C8E7A42-ACF5-822C-A8A2-8E4BE8296F81}"/>
                </a:ext>
              </a:extLst>
            </xdr14:cNvPr>
            <xdr14:cNvContentPartPr/>
          </xdr14:nvContentPartPr>
          <xdr14:nvPr macro=""/>
          <xdr14:xfrm>
            <a:off x="1722960" y="9052920"/>
            <a:ext cx="2566440" cy="431280"/>
          </xdr14:xfrm>
        </xdr:contentPart>
      </mc:Choice>
      <mc:Fallback>
        <xdr:pic>
          <xdr:nvPicPr>
            <xdr:cNvPr id="73" name="Ink 72">
              <a:extLst>
                <a:ext uri="{FF2B5EF4-FFF2-40B4-BE49-F238E27FC236}">
                  <a16:creationId xmlns:a16="http://schemas.microsoft.com/office/drawing/2014/main" id="{6C8E7A42-ACF5-822C-A8A2-8E4BE8296F8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1716840" y="9046800"/>
              <a:ext cx="2578680" cy="44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550120</xdr:colOff>
      <xdr:row>39</xdr:row>
      <xdr:rowOff>49370</xdr:rowOff>
    </xdr:from>
    <xdr:to>
      <xdr:col>4</xdr:col>
      <xdr:colOff>792893</xdr:colOff>
      <xdr:row>42</xdr:row>
      <xdr:rowOff>95814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4B5351A3-F854-C8A5-0B08-4075CC472600}"/>
                </a:ext>
              </a:extLst>
            </xdr14:cNvPr>
            <xdr14:cNvContentPartPr/>
          </xdr14:nvContentPartPr>
          <xdr14:nvPr macro=""/>
          <xdr14:xfrm>
            <a:off x="3021840" y="8038080"/>
            <a:ext cx="1066680" cy="660960"/>
          </xdr14:xfrm>
        </xdr:contentPart>
      </mc:Choice>
      <mc:Fallback>
        <xdr:pic>
          <xdr:nvPicPr>
            <xdr:cNvPr id="74" name="Ink 73">
              <a:extLst>
                <a:ext uri="{FF2B5EF4-FFF2-40B4-BE49-F238E27FC236}">
                  <a16:creationId xmlns:a16="http://schemas.microsoft.com/office/drawing/2014/main" id="{4B5351A3-F854-C8A5-0B08-4075CC472600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015720" y="8031960"/>
              <a:ext cx="1078920" cy="67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626933</xdr:colOff>
      <xdr:row>40</xdr:row>
      <xdr:rowOff>31012</xdr:rowOff>
    </xdr:from>
    <xdr:to>
      <xdr:col>5</xdr:col>
      <xdr:colOff>242946</xdr:colOff>
      <xdr:row>40</xdr:row>
      <xdr:rowOff>191572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1F7B0772-9E73-2215-9182-3396A3A34DF1}"/>
                </a:ext>
              </a:extLst>
            </xdr14:cNvPr>
            <xdr14:cNvContentPartPr/>
          </xdr14:nvContentPartPr>
          <xdr14:nvPr macro=""/>
          <xdr14:xfrm>
            <a:off x="3922560" y="8224560"/>
            <a:ext cx="439920" cy="160560"/>
          </xdr14:xfrm>
        </xdr:contentPart>
      </mc:Choice>
      <mc:Fallback>
        <xdr:pic>
          <xdr:nvPicPr>
            <xdr:cNvPr id="75" name="Ink 74">
              <a:extLst>
                <a:ext uri="{FF2B5EF4-FFF2-40B4-BE49-F238E27FC236}">
                  <a16:creationId xmlns:a16="http://schemas.microsoft.com/office/drawing/2014/main" id="{1F7B0772-9E73-2215-9182-3396A3A34DF1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3913560" y="8215920"/>
              <a:ext cx="457560" cy="17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106600</xdr:colOff>
      <xdr:row>38</xdr:row>
      <xdr:rowOff>202729</xdr:rowOff>
    </xdr:from>
    <xdr:to>
      <xdr:col>4</xdr:col>
      <xdr:colOff>43373</xdr:colOff>
      <xdr:row>40</xdr:row>
      <xdr:rowOff>18412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76" name="Ink 75">
              <a:extLst>
                <a:ext uri="{FF2B5EF4-FFF2-40B4-BE49-F238E27FC236}">
                  <a16:creationId xmlns:a16="http://schemas.microsoft.com/office/drawing/2014/main" id="{EDF210F6-48D5-0637-E2D7-A06EB8671A0E}"/>
                </a:ext>
              </a:extLst>
            </xdr14:cNvPr>
            <xdr14:cNvContentPartPr/>
          </xdr14:nvContentPartPr>
          <xdr14:nvPr macro=""/>
          <xdr14:xfrm>
            <a:off x="2578320" y="7986600"/>
            <a:ext cx="760680" cy="225360"/>
          </xdr14:xfrm>
        </xdr:contentPart>
      </mc:Choice>
      <mc:Fallback>
        <xdr:pic>
          <xdr:nvPicPr>
            <xdr:cNvPr id="76" name="Ink 75">
              <a:extLst>
                <a:ext uri="{FF2B5EF4-FFF2-40B4-BE49-F238E27FC236}">
                  <a16:creationId xmlns:a16="http://schemas.microsoft.com/office/drawing/2014/main" id="{EDF210F6-48D5-0637-E2D7-A06EB8671A0E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2569680" y="7977600"/>
              <a:ext cx="778320" cy="243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266</xdr:colOff>
      <xdr:row>42</xdr:row>
      <xdr:rowOff>77094</xdr:rowOff>
    </xdr:from>
    <xdr:to>
      <xdr:col>2</xdr:col>
      <xdr:colOff>701186</xdr:colOff>
      <xdr:row>42</xdr:row>
      <xdr:rowOff>129654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89B3E2C0-BD8D-F7F8-9A62-7DD774B2BA5B}"/>
                </a:ext>
              </a:extLst>
            </xdr14:cNvPr>
            <xdr14:cNvContentPartPr/>
          </xdr14:nvContentPartPr>
          <xdr14:nvPr macro=""/>
          <xdr14:xfrm>
            <a:off x="1648080" y="8680320"/>
            <a:ext cx="700920" cy="52560"/>
          </xdr14:xfrm>
        </xdr:contentPart>
      </mc:Choice>
      <mc:Fallback>
        <xdr:pic>
          <xdr:nvPicPr>
            <xdr:cNvPr id="79" name="Ink 78">
              <a:extLst>
                <a:ext uri="{FF2B5EF4-FFF2-40B4-BE49-F238E27FC236}">
                  <a16:creationId xmlns:a16="http://schemas.microsoft.com/office/drawing/2014/main" id="{89B3E2C0-BD8D-F7F8-9A62-7DD774B2BA5B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1639440" y="8671680"/>
              <a:ext cx="718560" cy="7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9893</xdr:colOff>
      <xdr:row>42</xdr:row>
      <xdr:rowOff>162414</xdr:rowOff>
    </xdr:from>
    <xdr:to>
      <xdr:col>4</xdr:col>
      <xdr:colOff>423173</xdr:colOff>
      <xdr:row>43</xdr:row>
      <xdr:rowOff>6175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80" name="Ink 79">
              <a:extLst>
                <a:ext uri="{FF2B5EF4-FFF2-40B4-BE49-F238E27FC236}">
                  <a16:creationId xmlns:a16="http://schemas.microsoft.com/office/drawing/2014/main" id="{559398EC-2A58-94CD-5550-74216BDADF5C}"/>
                </a:ext>
              </a:extLst>
            </xdr14:cNvPr>
            <xdr14:cNvContentPartPr/>
          </xdr14:nvContentPartPr>
          <xdr14:nvPr macro=""/>
          <xdr14:xfrm>
            <a:off x="3305520" y="8765640"/>
            <a:ext cx="413280" cy="48600"/>
          </xdr14:xfrm>
        </xdr:contentPart>
      </mc:Choice>
      <mc:Fallback>
        <xdr:pic>
          <xdr:nvPicPr>
            <xdr:cNvPr id="80" name="Ink 79">
              <a:extLst>
                <a:ext uri="{FF2B5EF4-FFF2-40B4-BE49-F238E27FC236}">
                  <a16:creationId xmlns:a16="http://schemas.microsoft.com/office/drawing/2014/main" id="{559398EC-2A58-94CD-5550-74216BDADF5C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296880" y="8756640"/>
              <a:ext cx="430920" cy="66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490133</xdr:colOff>
      <xdr:row>40</xdr:row>
      <xdr:rowOff>194452</xdr:rowOff>
    </xdr:from>
    <xdr:to>
      <xdr:col>4</xdr:col>
      <xdr:colOff>602453</xdr:colOff>
      <xdr:row>41</xdr:row>
      <xdr:rowOff>177893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FE4F772E-9B72-11F5-6301-1412751C799E}"/>
                </a:ext>
              </a:extLst>
            </xdr14:cNvPr>
            <xdr14:cNvContentPartPr/>
          </xdr14:nvContentPartPr>
          <xdr14:nvPr macro=""/>
          <xdr14:xfrm>
            <a:off x="3785760" y="8388000"/>
            <a:ext cx="112320" cy="188280"/>
          </xdr14:xfrm>
        </xdr:contentPart>
      </mc:Choice>
      <mc:Fallback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FE4F772E-9B72-11F5-6301-1412751C799E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777120" y="8379000"/>
              <a:ext cx="129960" cy="20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815893</xdr:colOff>
      <xdr:row>44</xdr:row>
      <xdr:rowOff>20937</xdr:rowOff>
    </xdr:from>
    <xdr:to>
      <xdr:col>3</xdr:col>
      <xdr:colOff>300280</xdr:colOff>
      <xdr:row>46</xdr:row>
      <xdr:rowOff>170699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E518EC2E-A2AB-915D-F832-9F281B8FDAA6}"/>
                </a:ext>
              </a:extLst>
            </xdr14:cNvPr>
            <xdr14:cNvContentPartPr/>
          </xdr14:nvContentPartPr>
          <xdr14:nvPr macro=""/>
          <xdr14:xfrm>
            <a:off x="1639800" y="9033840"/>
            <a:ext cx="1132200" cy="559440"/>
          </xdr14:xfrm>
        </xdr:contentPart>
      </mc:Choice>
      <mc:Fallback>
        <xdr:pic>
          <xdr:nvPicPr>
            <xdr:cNvPr id="82" name="Ink 81">
              <a:extLst>
                <a:ext uri="{FF2B5EF4-FFF2-40B4-BE49-F238E27FC236}">
                  <a16:creationId xmlns:a16="http://schemas.microsoft.com/office/drawing/2014/main" id="{E518EC2E-A2AB-915D-F832-9F281B8FDAA6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1631160" y="9024840"/>
              <a:ext cx="1149840" cy="57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310039</xdr:colOff>
      <xdr:row>20</xdr:row>
      <xdr:rowOff>192266</xdr:rowOff>
    </xdr:from>
    <xdr:to>
      <xdr:col>6</xdr:col>
      <xdr:colOff>421639</xdr:colOff>
      <xdr:row>20</xdr:row>
      <xdr:rowOff>193706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E892EF1A-73E3-1EC1-BF97-7B1452E43697}"/>
                </a:ext>
              </a:extLst>
            </xdr14:cNvPr>
            <xdr14:cNvContentPartPr/>
          </xdr14:nvContentPartPr>
          <xdr14:nvPr macro=""/>
          <xdr14:xfrm>
            <a:off x="5253480" y="4289040"/>
            <a:ext cx="111600" cy="144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E892EF1A-73E3-1EC1-BF97-7B1452E43697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5247360" y="4282920"/>
              <a:ext cx="123840" cy="1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270079</xdr:colOff>
      <xdr:row>19</xdr:row>
      <xdr:rowOff>3985</xdr:rowOff>
    </xdr:from>
    <xdr:to>
      <xdr:col>6</xdr:col>
      <xdr:colOff>386719</xdr:colOff>
      <xdr:row>19</xdr:row>
      <xdr:rowOff>22705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86" name="Ink 85">
              <a:extLst>
                <a:ext uri="{FF2B5EF4-FFF2-40B4-BE49-F238E27FC236}">
                  <a16:creationId xmlns:a16="http://schemas.microsoft.com/office/drawing/2014/main" id="{216EB2EF-1F2F-D8C8-2F5D-E359406AA189}"/>
                </a:ext>
              </a:extLst>
            </xdr14:cNvPr>
            <xdr14:cNvContentPartPr/>
          </xdr14:nvContentPartPr>
          <xdr14:nvPr macro=""/>
          <xdr14:xfrm>
            <a:off x="5213520" y="3895920"/>
            <a:ext cx="116640" cy="18720"/>
          </xdr14:xfrm>
        </xdr:contentPart>
      </mc:Choice>
      <mc:Fallback>
        <xdr:pic>
          <xdr:nvPicPr>
            <xdr:cNvPr id="86" name="Ink 85">
              <a:extLst>
                <a:ext uri="{FF2B5EF4-FFF2-40B4-BE49-F238E27FC236}">
                  <a16:creationId xmlns:a16="http://schemas.microsoft.com/office/drawing/2014/main" id="{216EB2EF-1F2F-D8C8-2F5D-E359406AA189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207400" y="3889800"/>
              <a:ext cx="12888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140972</xdr:colOff>
      <xdr:row>26</xdr:row>
      <xdr:rowOff>42874</xdr:rowOff>
    </xdr:from>
    <xdr:to>
      <xdr:col>7</xdr:col>
      <xdr:colOff>484412</xdr:colOff>
      <xdr:row>27</xdr:row>
      <xdr:rowOff>51515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107" name="Ink 106">
              <a:extLst>
                <a:ext uri="{FF2B5EF4-FFF2-40B4-BE49-F238E27FC236}">
                  <a16:creationId xmlns:a16="http://schemas.microsoft.com/office/drawing/2014/main" id="{B0D0A092-53B4-4761-12D6-9E52FBAA337E}"/>
                </a:ext>
              </a:extLst>
            </xdr14:cNvPr>
            <xdr14:cNvContentPartPr/>
          </xdr14:nvContentPartPr>
          <xdr14:nvPr macro=""/>
          <xdr14:xfrm>
            <a:off x="5908320" y="5368680"/>
            <a:ext cx="343440" cy="213480"/>
          </xdr14:xfrm>
        </xdr:contentPart>
      </mc:Choice>
      <mc:Fallback>
        <xdr:pic>
          <xdr:nvPicPr>
            <xdr:cNvPr id="107" name="Ink 106">
              <a:extLst>
                <a:ext uri="{FF2B5EF4-FFF2-40B4-BE49-F238E27FC236}">
                  <a16:creationId xmlns:a16="http://schemas.microsoft.com/office/drawing/2014/main" id="{B0D0A092-53B4-4761-12D6-9E52FBAA337E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5902200" y="5362560"/>
              <a:ext cx="355680" cy="22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260226</xdr:colOff>
      <xdr:row>23</xdr:row>
      <xdr:rowOff>10470</xdr:rowOff>
    </xdr:from>
    <xdr:to>
      <xdr:col>8</xdr:col>
      <xdr:colOff>151546</xdr:colOff>
      <xdr:row>25</xdr:row>
      <xdr:rowOff>132512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108" name="Ink 107">
              <a:extLst>
                <a:ext uri="{FF2B5EF4-FFF2-40B4-BE49-F238E27FC236}">
                  <a16:creationId xmlns:a16="http://schemas.microsoft.com/office/drawing/2014/main" id="{5C2C69F2-7AF4-136C-C30D-9B0E0394A605}"/>
                </a:ext>
              </a:extLst>
            </xdr14:cNvPr>
            <xdr14:cNvContentPartPr/>
          </xdr14:nvContentPartPr>
          <xdr14:nvPr macro=""/>
          <xdr14:xfrm>
            <a:off x="4379760" y="4721760"/>
            <a:ext cx="2363040" cy="531720"/>
          </xdr14:xfrm>
        </xdr:contentPart>
      </mc:Choice>
      <mc:Fallback>
        <xdr:pic>
          <xdr:nvPicPr>
            <xdr:cNvPr id="108" name="Ink 107">
              <a:extLst>
                <a:ext uri="{FF2B5EF4-FFF2-40B4-BE49-F238E27FC236}">
                  <a16:creationId xmlns:a16="http://schemas.microsoft.com/office/drawing/2014/main" id="{5C2C69F2-7AF4-136C-C30D-9B0E0394A605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4373640" y="4715636"/>
              <a:ext cx="2375280" cy="54396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434826</xdr:colOff>
      <xdr:row>27</xdr:row>
      <xdr:rowOff>93635</xdr:rowOff>
    </xdr:from>
    <xdr:to>
      <xdr:col>8</xdr:col>
      <xdr:colOff>24466</xdr:colOff>
      <xdr:row>29</xdr:row>
      <xdr:rowOff>123157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128" name="Ink 127">
              <a:extLst>
                <a:ext uri="{FF2B5EF4-FFF2-40B4-BE49-F238E27FC236}">
                  <a16:creationId xmlns:a16="http://schemas.microsoft.com/office/drawing/2014/main" id="{C63B8863-38FF-B2D7-BFD3-9346F38077F6}"/>
                </a:ext>
              </a:extLst>
            </xdr14:cNvPr>
            <xdr14:cNvContentPartPr/>
          </xdr14:nvContentPartPr>
          <xdr14:nvPr macro=""/>
          <xdr14:xfrm>
            <a:off x="4554360" y="5624280"/>
            <a:ext cx="2061360" cy="439200"/>
          </xdr14:xfrm>
        </xdr:contentPart>
      </mc:Choice>
      <mc:Fallback>
        <xdr:pic>
          <xdr:nvPicPr>
            <xdr:cNvPr id="128" name="Ink 127">
              <a:extLst>
                <a:ext uri="{FF2B5EF4-FFF2-40B4-BE49-F238E27FC236}">
                  <a16:creationId xmlns:a16="http://schemas.microsoft.com/office/drawing/2014/main" id="{C63B8863-38FF-B2D7-BFD3-9346F38077F6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4548240" y="5618165"/>
              <a:ext cx="2073600" cy="45143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770839</xdr:colOff>
      <xdr:row>30</xdr:row>
      <xdr:rowOff>17679</xdr:rowOff>
    </xdr:from>
    <xdr:to>
      <xdr:col>7</xdr:col>
      <xdr:colOff>638492</xdr:colOff>
      <xdr:row>30</xdr:row>
      <xdr:rowOff>164559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132" name="Ink 131">
              <a:extLst>
                <a:ext uri="{FF2B5EF4-FFF2-40B4-BE49-F238E27FC236}">
                  <a16:creationId xmlns:a16="http://schemas.microsoft.com/office/drawing/2014/main" id="{CCEF2152-BBE7-E06C-AFBC-45C547BD54E2}"/>
                </a:ext>
              </a:extLst>
            </xdr14:cNvPr>
            <xdr14:cNvContentPartPr/>
          </xdr14:nvContentPartPr>
          <xdr14:nvPr macro=""/>
          <xdr14:xfrm>
            <a:off x="5714280" y="6162840"/>
            <a:ext cx="691560" cy="146880"/>
          </xdr14:xfrm>
        </xdr:contentPart>
      </mc:Choice>
      <mc:Fallback>
        <xdr:pic>
          <xdr:nvPicPr>
            <xdr:cNvPr id="132" name="Ink 131">
              <a:extLst>
                <a:ext uri="{FF2B5EF4-FFF2-40B4-BE49-F238E27FC236}">
                  <a16:creationId xmlns:a16="http://schemas.microsoft.com/office/drawing/2014/main" id="{CCEF2152-BBE7-E06C-AFBC-45C547BD54E2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5708157" y="6156720"/>
              <a:ext cx="703806" cy="15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56466</xdr:colOff>
      <xdr:row>28</xdr:row>
      <xdr:rowOff>83196</xdr:rowOff>
    </xdr:from>
    <xdr:to>
      <xdr:col>5</xdr:col>
      <xdr:colOff>201546</xdr:colOff>
      <xdr:row>29</xdr:row>
      <xdr:rowOff>116677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133" name="Ink 132">
              <a:extLst>
                <a:ext uri="{FF2B5EF4-FFF2-40B4-BE49-F238E27FC236}">
                  <a16:creationId xmlns:a16="http://schemas.microsoft.com/office/drawing/2014/main" id="{C686F1F6-945D-4509-B816-9BDA41166FA4}"/>
                </a:ext>
              </a:extLst>
            </xdr14:cNvPr>
            <xdr14:cNvContentPartPr/>
          </xdr14:nvContentPartPr>
          <xdr14:nvPr macro=""/>
          <xdr14:xfrm>
            <a:off x="4176000" y="5818680"/>
            <a:ext cx="145080" cy="238320"/>
          </xdr14:xfrm>
        </xdr:contentPart>
      </mc:Choice>
      <mc:Fallback>
        <xdr:pic>
          <xdr:nvPicPr>
            <xdr:cNvPr id="133" name="Ink 132">
              <a:extLst>
                <a:ext uri="{FF2B5EF4-FFF2-40B4-BE49-F238E27FC236}">
                  <a16:creationId xmlns:a16="http://schemas.microsoft.com/office/drawing/2014/main" id="{C686F1F6-945D-4509-B816-9BDA41166FA4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4169880" y="5812560"/>
              <a:ext cx="157320" cy="250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6:54:35.76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1 120 24575,'3'-2'0,"3"2"0,-3 2 0,7 3 0,-5 0 0,6 2 0,1 2 0,-2-2 0,4 1 0,-7-3 0,2 0 0,-2-1 0,5 5 0,-2-2 0,7 7 0,-4-5 0,1 0 0,0-2 0,-2-2 0,2-1 0,-4-2 0,-2-2 0,3 0 0,0-4 0,11-7 0,-6-4 0,5-6 0,3-12 0,-5 3 0,9-14 0,-8 12 0,-5 6 0,-3 9 0,-8 13 0,-3 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6:54:37.04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 0 24575,'-2'3'0,"4"0"0,0 2 0,6-1 0,-3 2 0,6 3 0,-4-3 0,2 3 0,-3-3 0,-2 0 0,0 0 0,-1 0 0,2 0 0,-2-1 0,2 1 0,3 0 0,-2-1 0,6-1 0,-3-2 0,1-1 0,1-4 0,1-2 0,2-4 0,0 1 0,-3-1 0,-3 3 0,-1 0 0,3-1 0,0-1 0,5 2 0,-4-1 0,3 0 0,-4 2 0,8 1 0,-11 1 0,10 2 0,-14-1 0,1 1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6:54:38.79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0 119 24575,'6'11'0,"1"2"0,1 2 0,1-1 0,-1 0 0,0-4 0,3 4 0,-5-8 0,5 6 0,-4-6 0,2 2 0,-3-5 0,2-3 0,4-7 0,0 1 0,13-13 0,5 0 0,12-9 0,5-1 0,-10 3 0,1 2 0,-8 3 0,1 2 0,-3 3 0,-12 3 0,0 6 0,-12 2 0,2 2 0,-5 2 0,-1-1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6:54:53.001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69 87 24575,'10'-3'0,"5"-2"0,15-2 0,14-4 0,36-7 0,2 3-746,-25 6 0,4 1 746,-3 4 0,1 1 0,6 1 0,2 1 0,-1 0 0,0 2 0,0-1 0,-2 0 0,-7 0 0,-1 0 21,7 0 1,-2 0-22,13 0 0,-7 0 0,-51 0 0,-11 0 0</inkml:trace>
  <inkml:trace contextRef="#ctx0" brushRef="#br0" timeOffset="617">113 254 19482,'6'1'0,"7"1"2365,7 0-2365,21 0 866,4-2-866,20 0 0,11 0 0,4 0 0,11 0 0,-10 0 0,1 0 0,-9 0 0,-3 0 449,-17 0-449,-10 0 0,-22 0 0,-11 0 0</inkml:trace>
  <inkml:trace contextRef="#ctx0" brushRef="#br0" timeOffset="1200">1 468 24575,'43'0'0,"23"0"0,18 0-1015,-28 0 0,4 0 1015,4 0 0,3 0-948,23 0 1,3 0 947,-15 0 0,0 0 0,16 0 0,-2 0 47,-26 0 0,-4 0-47,-7-1 0,-3 2 0,19 3 0,-32-3 0,-24 3 0,-13-4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6:54:54.942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0 24575,'24'2'0,"21"-1"0,23-1 0,-18 0 0,5 0-1503,18 0 1,3 0 1502,-6 0 0,0 0 0,12 0 0,-1 0 0,-19 0 0,-3 0 329,-7 0 0,-2 0-329,32 0 560,-30 0-560,-23 0 0,-19 0 0,-7 0 0</inkml:trace>
  <inkml:trace contextRef="#ctx0" brushRef="#br0" timeOffset="600">291 234 24575,'3'3'0,"4"-2"0,14 5 0,26-4 0,44 2 0,-40-3 0,3-2-1154,14 1 1,-1 0 1153,33 4 0,-34-1 0,1 2 0,0 1 0,0 0-144,0 0 0,-1 0 144,1 0 0,-5 1 0,14 3 0,-24-3 0,-25-2 0,-13-5 0</inkml:trace>
  <inkml:trace contextRef="#ctx0" brushRef="#br0" timeOffset="1159">53 485 24575,'4'6'0,"5"0"0,11 3 0,14 3 0,23 2 0,24 5 0,-16-14 0,4-2-727,-5 4 0,1 0 727,14-5 0,0 0 0,-14 0 0,-3 0 0,2 2 0,-2-1-52,-7-1 0,-2 0 52,43 2 0,-29-1 0,-30-3 0,-19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6:55:00.076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 24575,'6'4'0,"5"-1"0,10-1 0,27-2 0,7 0 0,7 0-1330,3 0 1,5 0 1329,27 0 0,4 0-1008,-6 0 0,2 0 1008,-29 0 0,1 0 0,0 0 0,-1 0 0,0 0 0,2 0 0,8 0 0,1 0 0,-4 0 0,15 0 0,-3 0-733,2 0 1,-7 0 732,10 0-1188,-41 0 1,-27 0-1,-18 0 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01:34.035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156 321 24575,'27'-2'0,"20"1"0,23 1 0,24 0 0,-34 0 0,2 0 0,-6 0 0,-1 0 0,1 0 0,-5 0 0,6 0 0,-35-1 0,-18 0 0,-31-4 0,-22-6 0,-24 4 0,-4-3 0,24 10 0,24 0 0,20 0 0,13 0 0,25 0 0,44 0 0,20 0 0,-36 0 0,0 0 0,25 0 0,-36 0 0,-31 0 0,-65 0 0,-18 0 0,-29 0 0,8 0 0,26 0 0,18 0 0,17 0 0,4 0 0,-2 3 0,-4-2 0,0 2 0,9-3 0,7 0 0,9 0 0,-2-7 0,5-8 0,-4-8 0,6-13 0,-1 9 0,2-3 0,2 18 0,19 5 0,40 6 0,5 1 0,8 0 0,3 0 0,3 0 0,10 0 0,-4 0 0,-31 0 0,-7 0 0,7 0 0,-50 0 0,-49 0 0,-45 0 0,21-3 0,-6 0 0,-15 0 0,1-2 0,16-3 0,6 0 0,-33 0 0,65 0 0,52 7 0,56 0 0,7 1 0,13-1 0,-18 1 0,4 0 0,2 0-321,11 0 1,3 0-1,-2 0 321,-9 0 0,-1 0 0,-8 0 0,3 0 0,-10 0 0,11-3 0,-78 0 0,-48-7 0,-42-6 0,14 4 0,-7 1 0,-2 3 0,-2 2 0,-8-2 0,2 3 0,21 5 0,7 0 0,-14 0 962,39 0-962,50 0 0,65 0 0,-6 0 0,10 0 0,-10 0 0,5 0 0,2 0-182,12 0 1,3 0-1,-5 0 182,12 0 0,-9 0 0,-19 0 0,-18 0 0,-37 0 0,-94 0 0,11 0 0,-10 0 0,-3 0 0,-8 0 0,-1 0-194,0 0 0,0 0 0,-3 0 194,-11 0 0,-3 0 0,9 0 0,0 0 0,10 0 0,20 0 0,15 0 0,25 0 528,82 11-528,-3-6 0,9-1 0,25 2 0,7 0 0,-24-3 0,2-1 0,-1 0 0,21-2 0,-7 0 0,-29 0 0,-9 0 0,0 0 0,-57 0 0,-42 0 299,0 0 1,-11 0-300,-2 0 0,-8 0 0,0 0 0,0 0 0,0 0 0,1 0 0,-34 0 0,10 0 0,-4 0 0,72 0 0,85 5 0,-8 0 0,7 1 0,26 8 0,8 3 0,-23-8 0,3-1 0,-5 2 0,13 7 0,-6-1 0,-12-8 0,-14-2 0,-30 1 0,-60-7-1696,3 0 0,-7 0 0,29 0 0</inkml:trace>
  <inkml:trace contextRef="#ctx0" brushRef="#br0" timeOffset="483">266 97 24575,'72'0'0,"-15"0"0,6 0 0,10 0 0,1 0 0,-3 0 0,-5 0 0,10 0 0,-48 0 0,-23 0 0</inkml:trace>
  <inkml:trace contextRef="#ctx0" brushRef="#br0" timeOffset="3916">234 45 24575,'58'0'0,"0"0"0,33 1 0,7 1 0,-26-1 0,1-1 0,1 0-1800,6 1 1,1 0-1,-7 0 1800,-5-1 0,-9 0 1620,11 0-1620,-67 0 873,-18 0-873,-39-4 0,-12 2 0,11 0 0,-3 0 1453,5 1 0,1 2-1453,-32-1 0,30 0 0,48 0 0,81 0 0,-14 0 0,8 0 0,23 0 0,2 0 0,-12 0 0,-7 0 0,19 0 0,-114 0 0,-24 0 0,-15 0 0,-32 0 0,-9 0 0,31 0 0,-3 0 0,1 0 0,-4 0 0,-1 0 0,6 0 0,-5 0 0,7 0 0,-18 1 0,58 1 0,33-1 0,56 1 0,33-2 0,-33 7 0,1 1 0,34-1 0,-49 9 0,-39-11 0,-79-2 0,21-2 0,-4 0 0,-22 0 0,-3 0 0,13 0 0,6-1 0,-11 2 0,50 0 0,63-1 0,56 2 0,-43 0 0,1 2 0,-1-1 0,-5 2 0,4 3 0,-54 1 0,-63 9 0,-2-4 0,-8-2 0,4 1 0,-1-1 0,-3-1 0,8-3 0,13-4 0,42-5 0,95 0 0,-25 4 0,7-1 0,-3-2 0,6-2 0,-1 3 0,27 7 0,-6 0 0,-26-8 0,-9 2 0,4 11 0,-75-11 0,-42-1 0,1-2 0,-5 0 0,-1 0 0,2 0 0,6 0 0,5 0 0,-1 0 0,70 4 0,19 1 0,8 0 0,-12-1 0,-23-4 0,-54 0 0,-56 0 0,22 0 0,-5 0 0,-4 0 0,2 0 0,22 0 0,7 0 0,-5 0 0,80-9 0,71-12 0,-14 9 0,8 0 0,2-3 0,1 1 0,-3 4 0,-9 2 0,5-4 0,-51 4 0,-55-1 0,-55-7 0,21 3 0,-7 1 0,-16-1 0,2 1 0,26 3 0,5 0 0,-25 0 0,137 9 0,-2 0 0,11 0 0,1 0 0,7 0 0,1 0-205,1 0 1,0 0 0,-3 0 204,20 0 0,-10 0 0,-30 1 0,-17-2 0,-31-1 0,-69-1 0,-8 1 0,-8 0 0,-13 1 0,-1 0 0,14 1 0,5 0 0,-22 0 0,95 0 613,69 0-613,-10 0 0,11 0 0,5 0 0,8 0 0,1 0-303,-2 0 0,2 0 0,-1 0 303,3 0 0,-1 0 0,-8 0 0,0 0 0,-15 0 0,-12 0 0,-119 0 0,-6 0 0,-12 0 0,11 0 0,-5 0 0,-3 0-267,-16 0 0,-3 0 0,4 0 267,18 0 0,4 0 0,3 0 435,-21 0 1,23 0-436,49 0 0,118 0 0,-33 0 0,11 0 0,2 0 0,12 0 0,2 0 0,4 0-498,-14 0 1,3 0 0,-1 0 0,-5 0 497,4 0 0,-4 0 0,-7 0 377,19 0 0,-41 0-377,-62 0 0,-56 0 0,-26 0 0,20 0 0,-5 0 0,-3 0-207,-12 0 0,-4 0 1,5 0 206,15 0 0,3 0 0,5 0 0,-10 0 0,11 0 0,10 0 0,75 7 2003,54 8-2003,-19-4 0,1 1 0,30 9 0,-28-7 691,-88-3-691,-23-9 0,-13-2 0,4 2 0,-6 0 0,-3 0-418,-16-2 0,-3 0 0,5 0 418,-13 0 0,9 0 0,14 0 0,19 0 0,39 0 0,51 5 0,44-1 0,-23 5 0,5 2 0,13 0 0,-2 1 0,25 13 0,-26-5 0,-75-11 1254,-54-6-1254,-5-2 0,-8-1 0,-4 1 0,-2-2 0,-1 1 0,6 0 0,-11 0 0,71 0 0,91 0 0,13 0 0,15 0 0,-19 0 0,5 0 0,4 0-412,-9 0 0,4 0 1,2 0-1,-4 0 412,16 0 0,-2 0 0,-7 0 0,-21 0 0,-6 0 0,-6 0 0,2 0 0,-16 0 0,-28 0 0,-18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02:45.80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2 24575,'3'-1'0,"7"3"0,6 9 0,14 10 0,24 17 0,-2-1 0,6 4 0,-22-17 0,-15-9 0,-9-10 0,-6-3 0,7-4 0,4-7 0,8-5 0,14-11 0,12-11 0,-6 9 0,1 2 0,-29 14 0,-4 8 0,-8 0 0,2-1 0,-3 2 0,0-1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08:52.925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0 24575,'7'10'0,"6"14"0,14 19 0,2 5 0,-2 1 0,-7-19 0,-7-13 0,-4-9 0,-2-8 0,4-9 0,3-6 0,7-9 0,5-7 0,5-2 0,0 1 0,-8 6 0,-11 14 0,-7 7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08:54.215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12 24575,'34'-6'0,"18"4"0,20-1 0,8 3 0,-21 0 0,-20 0 0,-25 0 0,-12 0 0</inkml:trace>
  <inkml:trace contextRef="#ctx0" brushRef="#br0" timeOffset="645">118 159 24575,'26'3'0,"16"1"0,16 6 0,22 4 0,11 3 0,-23-6 0,-17-4 0,-35-7 0,-11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08:55.998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0 24575,'14'3'0,"8"5"0,32 6 0,7 0 0,1 3 0,-20-10 0,-25-4 0,-12-3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5:12.528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631 948 24575,'0'-21'0,"0"-22"0,4-7 0,7-23 0,9-9 0,14 3 0,3-13 0,9 14 0,-17 33 0,2 2 0,30-25 0,8 5 0,-17 26 0,0 9 0,31-1 0,-32 13 0,4 0 0,33-2 0,4 1 0,-9 2 0,1 3 0,12 2 0,2 3 0,-9 3 0,-1 2 0,8 2 0,0 0 0,-2 0 0,-1 0 0,-2 0 0,0 0 0,-2 1 0,-2 1 0,-15 3 0,0 2 0,6 3 0,0 3 0,-3 4 0,-2 2 0,-10-2 0,-1 1 0,1-2 0,-3 1 0,-10 2 0,-3 2 0,1 2 0,0 2 0,8 9 0,3 3 0,9 7 0,1 2 0,-2-3 0,0 0 0,5 3 0,-3-1 0,-13-8 0,-4-2 0,-5-3 0,-3-3 0,20 16 0,-17-1 0,-13-3 0,16 32 0,-4 2 0,-11-23 0,1 2 0,-5-3 0,1 4 0,4 12 0,0 3 0,0-3 0,-2 2 0,-3 9 0,-1 2 0,-1-4 0,-2-1 0,-5-4 0,-3 1 0,0-2 0,-1-1 0,-2-1 0,1-1 0,-1-3 0,1 0 0,-3 5 0,0 2 0,4-2 0,0 2 0,-4 12 0,-1 2 0,1-11 0,-2-2 0,-4 0 0,-3-4 0,-1-14 0,-2-4 0,-2 37 0,1-32 0,-2 0 0,-4 0 0,-1 1 0,0 8 0,-4-2 0,-5-9 0,-5-1 0,-4 3 0,-3-1 0,-6-8 0,-4-1 0,-7 3 0,-3-2 0,-7 0 0,-5-2 0,-6 0 0,-6 0 0,13-11 0,-3 2 0,1-2 0,-19 10 0,2-1 0,-2 0 0,1-4 0,11-8 0,2-3 0,3-4 0,0-2 0,-5 1 0,-3-2 0,-16-1 0,-2-2 0,7-3 0,-2-2 0,16-5 0,-2-1 0,0-3 0,-3-2 0,-1-2 0,1-2 0,4-3 0,1-1 0,-1-1 0,-1 1 0,0 0 0,2-2 0,-17-8 0,4-1 0,1 4 0,4 0 0,18 0 0,2 0 0,4 2 0,3 0 0,-26-10 0,22 8 0,8 0 0,20 6 0,9 0 0,-4-3 0,0-1 0,-12-5 0,-7-6 0,-27-12 0,0-1 0,14 7 0,-2 0 0,8 3 0,-1-1 0,-7-7 0,-2-1 0,2-1 0,1 1 0,10 6 0,1-1 0,0-2 0,0-3 0,0-3 0,0-3 0,-2-12 0,-1-4 0,-11-16 0,-3-4 0,18 24 0,-1-1 0,0-1-229,-5-5 1,0 0 0,-1 0 228,-1 2 0,-1-1 0,2 3 0,-15-18 0,2 3 0,7 9 0,4 5 0,-4-6 0,19 25 0,18 16 0,3 5 0,5 3 685,-2-3-685,0-2 0,2 3 0,0-2 0,1-2 0,2-1 0,-5-14 0,3 7 0,0-11 0,-3-9 0,8-16 0,-5-10 0,7 8 0,0 16 0,0 3 0,5 4 0,0-16 0,9 1 0,-3 6 0,7 3 0,-3 7 0,5 5 0,-1 0 0,0 3 0,-1 6 0,-1-2 0,1-2 0,6-4 0,-4 3 0,3 0 0,-8 9 0,1-2 0,-1 0 0,2 1 0,2-1 0,5 1 0,8-2 0,-5 6 0,4-2 0,-11 7 0,-7 4 0,3-3 0,-5 6 0,1-1 0,0 1 0,-3-2 0,8-5 0,1-8 0,6-4 0,-2-3 0,-3 5 0,-6 8 0,-1 1 0,-3 6 0,-1-3 0,-1 3 0,-1 0 0,0-3 0,3-1 0,3-1 0,3-4 0,-1 4 0,-4-2 0,1 5 0,-7 3 0,3 2 0,-7 5 0,1 1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5:20.212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682 296 24575,'0'-11'0,"0"-1"0,-1-7 0,-1 2 0,-3-8 0,-1 3 0,-7-5 0,0 5 0,-4-2 0,-4 1 0,1 3 0,-9-2 0,7 7 0,-3 4 0,1 3 0,2-1 0,-4 6 0,1-2 0,-1 5 0,0 1 0,3 4 0,-4 0 0,-6 8 0,-9-1 0,-1 8 0,1 5 0,11-5 0,4 3 0,9-5 0,-1 6 0,7 4 0,-3-2 0,6-1 0,2-9 0,0 1 0,6-4 0,-2-1 0,3 5 0,0 9 0,0 1 0,2 8 0,2-4 0,10 6 0,5-3 0,16 11 0,19 11 0,4-2 0,15 8 0,-2-15 0,-5-10 0,19-5 0,2-4 0,8-8 0,-14 2 0,-20-15 0,-25-3 0,-11-5 0,-5-7 0,-8-6 0,-1-9 0,-7-8 0,6-6 0,-7-7 0,3-10 0,-7 11 0,-1-5 0,-12 5 0,5 12 0,-9-7 0,8 19 0,2 0 0,-2 3 0,-2-3 0,3 2 0,-6-3 0,8 8 0,-3 0 0,-2-5 0,4 4 0,-9-10 0,8 10 0,-7-9 0,6 10 0,-3-8 0,1 8 0,-2-5 0,2 4 0,-4-3 0,5 2 0,-3-1 0,-2-3 0,6 6 0,-4-2 0,11 11 0,0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5:24.029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1102 24575,'24'-31'0,"23"-13"0,32-10 0,-19 14 0,4 0 0,1 2 0,2 1 0,19-3 0,5 3 0,-21 12 0,3 3 0,0 1-305,-3 1 1,0 1-1,1 1 305,9-2 0,2 1 0,-3 0 0,-11 2 0,-3 1 0,0-1 112,33-5 1,-3 0-113,-18 5 0,-2 1 0,-3 5 0,-3 3 0,-13 1 0,-1 3 0,9 4 0,0 0 0,-2 0 0,0 0 344,7 0 1,1 0-345,-7 0 0,-1 0 0,-4 0 0,-3 0 0,26 0 0,-33 0 0,-27 0 0,-18 0 0,-1 0 0</inkml:trace>
  <inkml:trace contextRef="#ctx0" brushRef="#br0" timeOffset="1083">3081 89 24575,'7'0'0,"-2"0"0,0 4 0,-3 2 0,-1 10 0,-1 6 0,-7 25 0,-2 9 0,-2 26 0,4 14 0,5-1 0,12 2 0,-4-27 0,16-15 0,-11-18 0,6-10 0,2 0 0,3-7 0,1 1 0,-8-11 0,-7-6 0</inkml:trace>
  <inkml:trace contextRef="#ctx0" brushRef="#br0" timeOffset="2095">2778 1 24575,'24'16'0,"25"16"0,-5-2 0,5 3 0,6 5 0,2 1 0,8 4 0,0-1 0,-14-7 0,-4-4 0,29 13 0,-32-14 0,0-13 0,-4-1 0,15-3 0,-11-2 0,-11-4 0,-17-3 0,-10-3 0</inkml:trace>
  <inkml:trace contextRef="#ctx0" brushRef="#br0" timeOffset="3511">3045 985 24575,'15'-21'0,"5"0"0,16-14 0,15-2 0,-3 2 0,9-1 0,-20 11 0,1 4 0,-13 3 0,2 2 0,-6 0 0,10-2 0,-4 2 0,1 0 0,-6 3 0,-9 7 0,0 0 0,1 4 0,3-2 0,-1-1 0,-2 2 0,-4-1 0,0 3 0,4-4 0,-1 1 0,9-2 0,-7 3 0,0-2 0,-9 4 0,-2-2 0</inkml:trace>
  <inkml:trace contextRef="#ctx0" brushRef="#br0" timeOffset="5383">3210 515 24575,'-2'16'0,"1"0"0,1 4 0,1-8 0,2-2 0,1-9 0,1-1 0,-2-3 0,1-4 0,-4-6 0,5 1 0,-4 0 0,1 5 0,-3 4 0,0 2 0,-1 2 0,1 2 0,1 2 0,0-1 0,6-2 0,2-9 0,3-6 0,-4 0 0,-4-1 0,-3 10 0,-1 0 0,-5 2 0,-3 3 0,1 3 0,1-1 0,6-1 0</inkml:trace>
  <inkml:trace contextRef="#ctx0" brushRef="#br0" timeOffset="6133">2507 173 24575,'19'11'0,"14"7"0,7 3 0,4 0 0,-10-11 0,-17-5 0,-10-4 0</inkml:trace>
  <inkml:trace contextRef="#ctx0" brushRef="#br0" timeOffset="6799">2497 466 24575,'25'0'0,"7"0"0,13 0 0,-10 0 0,-11 0 0,-17 0 0</inkml:trace>
  <inkml:trace contextRef="#ctx0" brushRef="#br0" timeOffset="7183">2642 681 24575,'9'-14'0,"3"-3"0,6-5 0,9-1 0,4 1 0,-5 7 0,-9 4 0,-12 7 0</inkml:trace>
  <inkml:trace contextRef="#ctx0" brushRef="#br0" timeOffset="7583">2720 846 24575,'10'-23'0,"3"-1"0,2 0 0,5-1 0,-8 10 0,-2 4 0,-6 8 0</inkml:trace>
  <inkml:trace contextRef="#ctx0" brushRef="#br0" timeOffset="7966">2732 1079 24575,'13'-14'0,"2"-1"0,6 2 0,-9 4 0,-3 3 0,-7 5 0</inkml:trace>
  <inkml:trace contextRef="#ctx0" brushRef="#br0" timeOffset="11547">3530 450 24575,'28'4'0,"3"0"0,30 7 0,0 2 0,16 2 0,-21 0 0,-5-4 0,-24-4 0,1 1 0,-8-6 0,3 0 0,-7-2 0,-7 0 0,-15 3 0,-15-3 0,-15 5 0,-2-5 0,-10 5 0,23-3 0,-1 3 0,15-4 0,4 3 0,-4-3 0,5 1 0,-3-2 0,1 3 0,-3-2 0,-2 2 0,0-2 0,0 0 0,4-1 0,-2 3 0,2-2 0,-7 5 0,1 0 0,-6 5 0,2 0 0,-1 1 0,2 1 0,-5-3 0,0 6 0,0-4 0,2 3 0,3-4 0,-3 2 0,3-2 0,-1 2 0,4-3 0,-9 5 0,5-1 0,-18 7 0,11-4 0,-6 1 0,9-4 0,5-3 0,6-4 0,4-1 0,0-2 0,-1 3 0,-4 1 0,1-1 0,2 0 0,2-3 0,3-1 0,2 0 0,-1-3 0,2 1 0,1-1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6:06.663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1110 576 16383,'52'81'0,"0"1"0,0 0 0,0-1 0,0 1 0,-1-1 0,1 1 0,0 0 0,0-1 0,0 1 0,0-1 0,0 1 0,0 0 0,3 1 0,1 5 0,1 3 0,0-1 0,-1-1 0,0-4 0,-1-5 0,-1-7 0,-2-10 0,-3-11 0,-2-13 0,27-4 0,-5-22 0,2-6 0,6 1 0,2-4 0,-5-3 0,3-1 0,-7-1 0,-10 0 0,-10 1 0,-18 2 0,-22 10 0,9 12 0,28 33 0,-4-15 0,8 1 0,17 14 0,11 0 0,-8-17 0,6-2 0,1-6 0,-4-6 0,2-5 0,-1-8 0,-1-10 0,0-6 0,-6-11 0,10-19 0,-14-12 0,-26 5 0,-12-3 0,-10-32 0,-87 10 0,3 29 0,-14 4 0,-1 3 0,-10 2 0,-7 6 0,24 9 0,-6 4 0,-2 2 0,0 3 0,4 4 0,-7 4 0,2 4 0,2 4 0,1 3 0,-2 1 0,-1 3 0,6 3 0,13 4 0,-1 21 0,18 3 0,3 15 0,52-35 0,14-23 0,10-42 0,-5-48 0,-17 33 0,-5-4 0,-8-12 0,-7 3 0,-26-22 0,-4 46 0,-11 10 0,-24 15 0,-11 12 0,8 5 0,-6 4 0,1 5 0,0 7 0,1 5 0,3 2 0,10-3 0,2 1 0,10 0 0,7 2 0,13-3 0,18-6 0,50-61 0,10-45 0,-10 14 0,-4-7 0,-5-1 0,-9 0 0,-10 6 0,-10 6 0,-33-13 0,-33 61 0,12 41 0,-2 15 0,9 5 0,3 8 0,-8 12 0,7 4 0,21-12 0,10-2 0,9 15 0,37-33 0,52-60 0,-17-6 0,-1-12 0,-4-13 0,-7-9 0,0-21 0,-14-5 0,-27 11 0,-11 3 0,-5 2 0,-6 8 0,-21-14 0,-43 40 0,33 50 0,-3 14 0,-21 18 0,1 13 0,12 11 0,8 7 0,5 8 0,14 2 0,24-17 0,10-5 0,17 14 0,36-40 0,16-50 0,-21-12 0,-3-11 0,-5-11 0,-8-9 0,-4-22 0,-13-5 0,-15 10 0,-10 5 0,0 12 0,-9 8 0,-49-10 0,16 69 0,-5 17 0,-17 14 0,-3 16 0,16 0 0,1 10 0,6 3 0,10-2 0,5 3 0,7 2 0,8 1 0,7 1 0,10-6 0,13 3 0,14-12 0,52 8 0,-26-70 0,1-19 0,7-18 0,-1-13 0,-13 2 0,-2-6 0,-2-6 0,3-16 0,-5-7 0,-2-3 0,-10 13 0,-2-3 0,-3-1 0,-3 1 0,-2 3 0,-3 2 0,-3-1 0,-3 2 0,-3-22 0,-4 1 0,-6 9 0,-8 0 0,-6 14 0,-18-6 0,9 62 0,23 46 0,5 2 0,10 4 0,6-15 0,24-24 0,26-36 0,-17 5 0,1-7 0,-3-6 0,-5-5 0,-1-12 0,-8 2 0,-7-4 0,-14 6 0,-23 60 0,-57 47 0,21-14 0,-3 3 0,-8 14 0,2 3 0,11-5 0,9-2 0,9 14 0,52-17 0,25-29 0,14-7 0,20-1 0,7-2 0,-14 0 0,2 0 0,-2 2 0,16-1 0,-8 10 0,-20 11 0,-17 13 0,-32 19 0,-14 11 0,-5 18 0,-1 7 0,5-19 0,1 5 0,5 0 0,5 8 0,4 1 0,9-3 0,9-8 0,8-2 0,6-5 0,4-5 0,6-4 0,6-10 0,6-11 0,5-10 0,3-11 0,5-15 0,2-13 0,-1-6 0,1-3 0,-2-8 0,-5-9 0,-2-13 0,-5-11 0,-7-3 0,-10 4 0,-7-3 0,-10-3 0,-12-4 0,-9-3 0,-10 4 0,-12-15 0,-16 9 0,-14 11 0,-15 16 0,-22 28 0,-6 21 0,7 12 0,2 13 0,-2 14 0,8 9 0,25-7 0,11 2 0,6 29 0,48-21 0,27-20 0,-1-22 0,4-10 0,-2-9 0,0-8 0,4-7 0,-5-9 0,4-47 0,-49 14 0,-39 17 0,-16 33 0,-10 10 0,-12 11 0,0 7 0,8-3 0,4 3 0,4 7 0,16 4 0,34 3 0,28-11 0,35-40 0,-8-7 0,2-7 0,-4-8 0,-2-5 0,4-8 0,-9-2 0,-10-31 0,-43 30 0,-47 31 0,4 37 0,-6 12 0,-7 9 0,0 7 0,1 7 0,7 6 0,19-4 0,12 1 0,15 13 0,48-27 0,37-38 0,-3-19 0,4-11 0,2-10 0,-1-6 0,-1-9 0,-8 0 0,-21 18 0,-14 3 0,-22-4 0,-57 56 0,-10 23 0,-9 10 0,-8 6 0,-1 4 0,-2 6 0,6-1 0,21-17 0,14-3 0,22 2 0,58-39 0,18-22 0,21-22 0,-31 7 0,-16 2 0,-33 33 0,-5 4 0,1 11 0,-2 2 0,6 0 0,-1-9 0,2-7 0,-8-13 0,-27-18 0,-6 8 0,-13 4 0,-15 7 0,-12 8 0,-4 4 0,9 4 0,-3 4 0,-3 5 0,-2 5 0,1 6 0,-4 5 0,-2 5 0,4 3 0,4 3 0,-5 8 0,4 4 0,5 4 0,6 5 0,4 3 0,2 6 0,10 2 0,14 1 0,12 11 0,16 2 0,18-1 0,19 2 0,19-2 0,13-9 0,-1-22 0,8-5 0,7-6 0,5-5 0,1-5 0,6-4 0,4-4 0,2-6 0,1-4 0,-8-6 0,1-4 0,2-5 0,1-2 0,0-4 0,0-2 0,6-3 0,2-5 0,0-2 0,-1-3 0,-3-2 0,-4-3 0,1-4 0,-2-3 0,-3-2 0,-5-4 0,-3-3 0,9-10 0,-2-4 0,-10-5 0,-19-5 0,-18-19 0,-20-7 0,-18 2 0,-18 1 0,-18 2 0,-15 6 0,-6 16 0,-12 4 0,-8 5 0,-4 10 0,8 14 0,-4 5 0,-4 7 0,-2 5 0,-1 6 0,8 6 0,-4 5 0,-1 5 0,0 4 0,2 4 0,2 3 0,-11 7 0,1 5 0,2 5 0,4 5 0,5 4 0,-6 11 0,3 7 0,9 5 0,13 6 0,17-3 0,7 5 0,11 3 0,14 0 0,17 0 0,14 2 0,10-1 0,6-5 0,7-2 0,8-4 0,8-4 0,7-4 0,6-7 0,9-2 0,6-5 0,2-5 0,-1-6 0,-4-8 0,1-6 0,1-6 0,2-3 0,0-4 0,11-3 0,3-5 0,0-4 0,-2-6 0,-4-5 0,-12-5 0,-2-4 0,-2-5 0,-4-5 0,-4-4 0,11-14 0,-4-7 0,-8-7 0,-9-6 0,-11-11 0,-8-8 0,-10-4 0,-9 1 0,-11 6 0,-7 0 0,-10-1 0,-8 1 0,-10-6 0,-9-1 0,-10 3 0,-10 10 0,2 24 0,-7 5 0,-6 4 0,-5 6 0,-3 5 0,-14 3 0,-8 7 0,-3 7 0,-3 5 0,2 5 0,0 5 0,-1 6 0,-1 6 0,1 5 0,0 6 0,12 3 0,-1 4 0,0 5 0,1 5 0,5 3 0,6 4 0,-2 8 0,5 5 0,4 5 0,6 4 0,7 6 0,6 6 0,5 7 0,6 4 0,8 1 0,9-1 0,5 10 0,11 0 0,10 1 0,9 0 0,9-7 0,9 3 0,7-1 0,6-4 0,5-7 0,3-10 0,6-6 0,4-4 0,4-3 0,4-2 0,-3-4 0,4-1 0,3-2 0,3-3 0,1-5 0,1-5 0,1-6 0,4-4 0,1-5 0,1-4 0,-2-4 0,-1-3 0,8-2 0,0-5 0,-1-5 0,-3-5 0,-2-6 0,-3-6 0,0-4 0,-4-6 0,-5-7 0,-10-6 0,-2-15 0,-10-10 0,-9-6 0,-10-3 0,-8-8 0,-11-6 0,-11-3 0,-12 0 0,-10 7 0,-12-4 0,-9 0 0,-5 3 0,-4 4 0,-2 4 0,-6 3 0,-5 4 0,-5 3 0,-4 3 0,1 10 0,-6 1 0,-3 3 0,-3 4 0,-1 5 0,0 7 0,-9 3 0,-1 6 0,-2 7 0,0 8 0,0 7 0,-1 9 0,-3 9 0,1 7 0,3 6 0,5 5 0,11 3 0,2 6 0,4 4 0,3 5 0,5 5 0,0 8 0,4 5 0,4 5 0,6 3 0,6 3 0,8 2 0,6 5 0,6 3 0,5-1 0,6 0 0,3 12 0,7 0 0,9 0 0,7-1 0,4-14 0,6 1 0,6-1 0,5-3 0,5-5 0,15 8 0,7-6 0,7-5 0,5-5 0,7-4 0,5-5 0,5-6 0,2-8 0,0-9 0,3-7 0,3-9 0,0-10 0,-12-10 0,2-9 0,0-6 0,-3-5 0,-4-5 0,6-9 0,-5-7 0,-5-7 0,-4-6 0,1-11 0,-4-6 0,-9-7 0,-15-4 0,-18-5 0,-13-7 0,-11-2 0,-10 3 0,-9 0 0,-10 0 0,-10 2 0,-6 3 0,1 13 0,-6 1 0,-6 2 0,-4 4 0,-5 7 0,-5 7 0,-5 4 0,-4 5 0,-5 7 0,-2 6 0,5 9 0,-3 5 0,-4 5 0,-1 5 0,1 5 0,3 4 0,-13 7 0,2 6 0,0 7 0,2 7 0,2 6 0,10 3 0,0 6 0,1 6 0,3 3 0,5 3 0,7 2 0,4 5 0,5 3 0,5 3 0,7 3 0,5 2 0,0 23 0,9 5 0,10 1 0,13-3 0,11-11 0,10-2 0,10-2 0,10-4 0,16 2 0,12-4 0,8-5 0,4-5 0,-11-18 0,3-2 0,5-5 0,2-4 0,3-4 0,12-1 0,6-4 0,2-6 0,1-6 0,-1-5 0,-6-8 0,1-5 0,0-5 0,-2-6 0,-3-6 0,-3-4 0,0-5 0,-3-5 0,-4-6 0,-5-7 0,-6-8 0,-4-8 0,-5-4 0,-5-5 0,-8 1 0,0-15 0,-9-3 0,-8-3 0,-12-1 0,-11-7 0,-11-3 0,-11 1 0,-9 5 0,-8 10 0,-9 4 0,-8 4 0,-9 5 0,-1 15 0,-9 3 0,-5 5 0,-3 4 0,1 3 0,3 6 0,-1 3 0,-2 5 0,-1 4 0,-1 5 0,-5 5 0,-2 4 0,0 6 0,1 7 0,4 9 0,-10 14 0,3 13 0,4 8 0,7 6 0,8 5 0,6 6 0,6 7 0,8 6 0,13-5 0,5 6 0,5 3 0,7 2 0,5-2 0,7 13 0,8 2 0,8-1 0,9-1 0,4-11 0,6 0 0,6-1 0,7-2 0,6-5 0,11 1 0,10-4 0,5-4 0,5-4 0,0-4 0,1-4 0,3-4 0,3-5 0,3-4 0,2-5 0,-9-8 0,3-3 0,2-3 0,0-4 0,0-6 0,-3-4 0,6-6 0,0-5 0,-2-5 0,-3-7 0,-2-6 0,14-14 0,-3-8 0,-5-9 0,-10-6 0,-14-2 0,-7-6 0,-6-5 0,-9-6 0,-4-10 0,-7-6 0,-10-4 0,-11-1 0,-13 15 0,-8-3 0,-7 0 0,-5 1 0,-3 3 0,-8-13 0,-4 3 0,-9 3 0,-9 4 0,-3 13 0,-8 0 0,-7 5 0,-4 6 0,-1 10 0,3 11 0,-4 8 0,-2 7 0,-3 4 0,-2 5 0,6 4 0,-5 4 0,-1 3 0,0 5 0,0 4 0,4 5 0,-12 6 0,2 7 0,1 5 0,3 4 0,4 5 0,7 2 0,1 4 0,3 4 0,6 4 0,6 5 0,-3 16 0,6 8 0,11 3 0,13 2 0,17-5 0,10 2 0,11 0 0,8 0 0,12 6 0,11 0 0,9-2 0,8-7 0,10-5 0,10-5 0,7-6 0,8-5 0,-15-18 0,6-4 0,4-3 0,3-2 0,0-4 0,-1-3 0,12 1 0,1-4 0,0-4 0,2-5 0,1-3 0,-7-3 0,2-4 0,2-2 0,-2-4 0,-1-4 0,-6-5 0,3-5 0,-2-5 0,-3-4 0,-5-6 0,-5-9 0,-5-6 0,-3-8 0,-5-6 0,-8-4 0,-9-2 0,-4-18 0,-12-5 0,-11-4 0,-11-1 0,-10 8 0,-9-3 0,-9 0 0,-7 1 0,-9 4 0,-3 13 0,-9 2 0,-6 2 0,-5 3 0,-2 3 0,0 4 0,-12-4 0,-3 4 0,-3 5 0,-2 4 0,-4 7 0,-4 3 0,-6 4 0,-1 7 0,2 8 0,4 11 0,0 11 0,3 12 0,4 10 0,5 8 0,8 9 0,3 9 0,7 7 0,8 6 0,10 6 0,8 8 0,7 4 0,6 2 0,5 13 0,8 5 0,6 2 0,7-3 0,6-5 0,5-1 0,8-1 0,6-1 0,1-12 0,5 1 0,5-2 0,5-3 0,3-5 0,16 7 0,7-5 0,5-7 0,3-6 0,1-7 0,5-7 0,2-6 0,0-7 0,0-7 0,2-5 0,-1-10 0,-3-13 0,-6-13 0,-2-13 0,-4-9 0,-6-5 0,10-21 0,-9-11 0,-13-11 0,-20 2 0,-9-10 0,-10-4 0,-8 2 0,-9-2 0,-10 0 0,-8-1 0,-10 1 0,-5 10 0,-8-2 0,-7 2 0,-5 3 0,-1 6 0,1 11 0,-3 4 0,-4 4 0,-3 2 0,-3 4 0,-8-1 0,-5 2 0,-3 4 0,-1 6 0,0 9 0,-11 5 0,-1 8 0,-1 10 0,0 8 0,17 7 0,-2 7 0,0 5 0,3 5 0,4 3 0,-7 9 0,3 6 0,5 6 0,3 6 0,-1 10 0,3 7 0,7 5 0,9 2 0,15-6 0,7 3 0,8 2 0,8 1 0,7 3 0,9 1 0,7 0 0,9-2 0,7-3 0,9-2 0,7-2 0,6-4 0,12 2 0,9-4 0,7-4 0,6-7 0,-1-10 0,7-5 0,5-4 0,1-6 0,-1-6 0,-2-5 0,0-6 0,2-5 0,-1-5 0,2-7 0,-8-4 0,3-4 0,0-4 0,-1-6 0,-5-4 0,-7-4 0,15-19 0,-7-8 0,-8-7 0,-9-8 0,-16 7 0,-4-7 0,-7-4 0,-7-1 0,-11-1 0,-11 1 0,-9-2 0,-9-1 0,-6 0 0,-5 0 0,-5 5 0,-6-2 0,-6 0 0,-4 2 0,-3 2 0,-2 5 0,-10-7 0,-5 3 0,-5 5 0,-3 3 0,-4 3 0,4 10 0,-4 0 0,-3 4 0,-2 3 0,-1 7 0,0 6 0,-9 4 0,-2 8 0,-1 6 0,-1 8 0,1 6 0,-3 8 0,-3 8 0,2 7 0,2 5 0,6 5 0,11 0 0,3 4 0,3 4 0,4 5 0,5 4 0,-10 20 0,5 7 0,8 4 0,13 1 0,8 14 0,15 3 0,16-1 0,17 1 0,17 0 0,12-7 0,11-12 0,12-7 0,10-8 0,-3-17 0,8-6 0,5-7 0,4-7 0,-7-11 0,5-7 0,2-5 0,0-5 0,-2-4 0,-3-5 0,-1-4 0,0-4 0,-2-5 0,-3-4 0,18-12 0,-2-6 0,-6-8 0,-12-7 0,-16-6 0,-9-8 0,-9-5 0,-11-3 0,-13-7 0,-13-6 0,-9-1 0,-7 4 0,-6 5 0,-8 0 0,-6 4 0,-8 4 0,-8 3 0,-8 2 0,-7 7 0,-6 12 0,-7 12 0,-9 10 0,-3 9 0,0 10 0,0 10 0,-3 11 0,0 8 0,1 4 0,13 0 0,-1 4 0,0 4 0,3 5 0,3 7 0,2 11 0,1 7 0,4 6 0,5 2 0,5-1 0,0 3 0,6 0 0,7 3 0,7 6 0,4 13 0,6 7 0,12 0 0,17-5 0,16-16 0,14-3 0,9-3 0,4-4 0,4-1 0,6-3 0,7-4 0,8-8 0,8-8 0,9-6 0,5-6 0,3-5 0,-3-7 0,-6-8 0,0-6 0,0-5 0,1-4 0,-1-3 0,7-2 0,1-3 0,0-3 0,-5-6 0,-7-7 0,-1-8 0,-4-6 0,-9-8 0,-13-7 0,-12-10 0,-12-10 0,-9-3 0,-12 2 0,-13 5 0,-11 0 0,-8 0 0,-4 0 0,-9-11 0,-6-3 0,-8 4 0,-7 11 0,-5 13 0,-8 8 0,-6 7 0,-3 7 0,-11 5 0,-6 9 0,-3 8 0,3 9 0,5 11 0,1 8 0,1 9 0,1 5 0,-4 8 0,0 7 0,5 7 0,10 7 0,15 1 0,8 7 0,6 4 0,8 3 0,6 5 0,8 4 0,8 3 0,10 1 0,12 9 0,12 3 0,9-1 0,4-2 0,5-3 0,5-1 0,8-3 0,9-2 0,3-9 0,8-1 0,6-3 0,4-5 0,0-6 0,-4-11 0,3-5 0,1-5 0,3-4 0,1-4 0,7 0 0,3-3 0,2-5 0,0-7 0,0-8 0,1-9 0,3-9 0,-2-6 0,-1-5 0,-6-3 0,4-6 0,-4-5 0,-4-6 0,-4-7 0,-15 2 0,-1-6 0,-3-5 0,-9-3 0,-12-4 0,-10-18 0,-14-7 0,-12-1 0,-7 1 0,-9 1 0,-10 0 0,-8 2 0,-6 3 0,-6-2 0,-6 1 0,-9 6 0,-10 8 0,-7 15 0,-11 6 0,-7 7 0,-1 6 0,4 8 0,0 6 0,2 9 0,-1 8 0,-2 5 0,4 5 0,-4 3 0,0 6 0,5 7 0,8 10 0,3 14 0,8 11 0,6 9 0,7 5 0,4 13 0,9 10 0,6 4 0,7 0 0,7 1 0,7 1 0,7 2 0,5 0 0,4-15 0,3 2 0,5 0 0,4-1 0,6-2 0,7-2 0,6 0 0,4-2 0,5-4 0,2-3 0,13 8 0,6-6 0,4-4 0,6-6 0,-8-14 0,4-2 0,4-5 0,2-6 0,3-8 0,7-8 0,3-7 0,3-7 0,0-5 0,-2-6 0,-6-3 0,-1-6 0,0-5 0,-1-4 0,-2-3 0,3-6 0,1-3 0,-2-5 0,-5-4 0,-7-4 0,-3-11 0,-7-4 0,-7-5 0,-8-4 0,-9-2 0,-8-5 0,-7-3 0,-10 1 0,-10-1 0,-9 0 0,-8-1 0,-6 0 0,-8-8 0,-9-2 0,-5 4 0,-3 5 0,0 12 0,-3 5 0,-3 3 0,-3 4 0,0 4 0,-3 2 0,-2 7 0,-3 12 0,-19 12 0,-3 16 0,-1 12 0,-2 12 0,1 14 0,-3 11 0,21-2 0,-4 7 0,1 6 0,1 3 0,4-1 0,6-1 0,1 1 0,4 3 0,1 1 0,3 3 0,-2 6 0,1 3 0,3 3 0,7 1 0,10 0 0,7 11 0,10 3 0,9-1 0,11-3 0,9-6 0,9-1 0,9-3 0,6-3 0,12 3 0,8-3 0,8-5 0,3-7 0,5-8 0,6-5 0,5-7 0,3-9 0,-8-11 0,5-6 0,2-5 0,0-5 0,-3-5 0,11-4 0,-2-6 0,-1-7 0,-1-7 0,3-8 0,0-8 0,-4-7 0,-9-6 0,-14-3 0,-6-5 0,-6-5 0,-8-4 0,-7-8 0,-7-6 0,-8-2 0,-5 1 0,-7 8 0,-6 1 0,-5-1 0,-8 2 0,-6-4 0,-6-1 0,-8 4 0,-6 7 0,-20-6 0,-10 10 0,-9 10 0,-15 9 0,-10 12 0,-1 15 0,1 15 0,-1 14 0,1 12 0,19 6 0,0 9 0,4 7 0,6 6 0,7 7 0,5 8 0,6 4 0,6 4 0,4 9 0,6 4 0,6 3 0,6-1 0,6-6 0,4 0 0,7-1 0,8 1 0,11 7 0,10 3 0,7-4 0,5-9 0,13 2 0,9-10 0,9-6 0,-7-16 0,8-3 0,2-7 0,2-11 0,22-10 0,2-16 0,-5-10 0,-17-6 0,-3-8 0,-7-8 0,-5-11 0,-6-8 0,-15-6 0,-18-38 0,-26-7 0,-10 31 0,-11 0 0,-10 2 0,-7 10 0,-8 1 0,-6 3 0,-5 5 0,-11 3 0,-6 6 0,-5 5 0,-4 5 0,6 7 0,-5 3 0,-3 5 0,1 4 0,0 6 0,3 5 0,0 4 0,0 6 0,2 4 0,4 5 0,-13 12 0,2 7 0,7 6 0,9 5 0,2 10 0,11 7 0,17 4 0,19-3 0,14 4 0,16-4 0,38 23 0,26-14 0,15-22 0,14-17 0,-23-18 0,5-7 0,-3-16 0,-6-16 0,-2-13 0,-9-11 0,-11-8 0,-9-10 0,-10-7 0,-13-20 0,-14-10 0,-12 1 0,-6 21 0,-8 0 0,-6 0 0,-6 2 0,-12-8 0,-9 0 0,-6 3 0,-2 7 0,-1 9 0,-4 6 0,-3 4 0,-4 4 0,-8 2 0,-5 3 0,-3 8 0,0 10 0,2 14 0,-3 10 0,2 8 0,5 4 0,-7 7 0,5 7 0,7 10 0,5 12 0,6 9 0,21 7 0,23 25 0,30 5 0,18-25 0,14 0 0,10-7 0,10-8 0,11-8 0,6-6 0,-3-10 0,7-3 0,2-7 0,0-8 0,-2-9 0,2-7 0,-1-8 0,-4-6 0,21-17 0,-5-13 0,-12-10 0,-18-9 0,-12-11 0,-14-4 0,-17-10 0,-15-5 0,-12 1 0,-6 23 0,-8 0 0,-7 2 0,-5 3 0,-11 0 0,-7 2 0,-5 5 0,0 5 0,-15-5 0,-2 8 0,-6 11 0,-10 7 0,-5 11 0,1 17 0,4 23 0,1 16 0,5 8 0,13 0 0,4 7 0,5 8 0,-3 16 0,6 10 0,13-1 0,13 12 0,23-1 0,25 12 0,29-10 0,5-47 0,14-10 0,8-7 0,11-5 0,10-7 0,5-6 0,-3-6 0,-4-5 0,0-6 0,0-5 0,0-6 0,6-7 0,2-6 0,-5-7 0,-13-8 0,0-19 0,-13-11 0,-19-7 0,-22-9 0,-18-7 0,-14-1 0,-8 18 0,-10-1 0,-7 2 0,-4 5 0,-4 6 0,-6 4 0,-4 5 0,-5 4 0,-4 2 0,-6 3 0,-3 8 0,-2 14 0,-21 14 0,-5 18 0,6 12 0,12 7 0,3 10 0,8 9 0,4 11 0,6 10 0,19 4 0,22 30 0,30-1 0,25-14 0,23-12 0,3-26 0,13-9 0,7-10 0,-2-13 0,8-8 0,2-8 0,-2-5 0,-2-4 0,0-7 0,-2-5 0,-2-5 0,4-5 0,-1-6 0,-5-5 0,-12-7 0,-15-3 0,-8-6 0,-9-3 0,-10 1 0,-11-8 0,-13-1 0,-11 2 0,-12-3 0,-10 2 0,-10 10 0,-33-3 0,-14 17 0,19 22 0,-5 7 0,-3 12 0,-5 14 0,-1 13 0,5 9 0,10 6 0,5 8 0,8 8 0,2 10 0,7 8 0,19 5 0,23 5 0,20 5 0,13-4 0,9-12 0,13-2 0,7-2 0,4-4 0,9-1 0,7-3 0,5-4 0,5-5 0,-3-8 0,4-3 0,5-4 0,1-4 0,1-3 0,-12-7 0,3-2 0,1-4 0,-1-2 0,-2-3 0,-3-3 0,18-5 0,-3-4 0,-3-6 0,-5-3 0,-6 0 0,-1-3 0,-9-6 0,-19-10 0,-13-43 0,-34-12 0,-28 21 0,-19-1 0,-8 3 0,-8 2 0,-9 4 0,-8 5 0,4 14 0,-7 3 0,-3 6 0,2 10 0,-12 7 0,-1 12 0,1 11 0,-1 12 0,2 11 0,9 13 0,18 9 0,9 12 0,11 6 0,9 16 0,12 9 0,15 0 0,18 1 0,17 1 0,10-1 0,0-18 0,7 0 0,6-3 0,8-5 0,-4-16 0,6-4 0,4-2 0,4-3 0,3-3 0,-1-3 0,4-2 0,4-3 0,0-1 0,1-4 0,-2-2 0,9-1 0,1-4 0,-1-3 0,-1-3 0,0 0 0,-5-1 0,2-1 0,-3-2 0,-3-4 0,-8-6 0,12-7 0,-8-6 0,-25-17 0,-35-38 0,-32-11 0,-16 21 0,-16 1 0,-7 0 0,3 4 0,-6-1 0,-6 3 0,-4 6 0,-13 5 0,-8 5 0,-2 7 0,3 6 0,12 9 0,2 5 0,0 6 0,1 6 0,-28 9 0,0 10 0,17 15 0,27 10 0,12 10 0,12 5 0,13 1 0,11 4 0,10 1 0,12 8 0,12 1 0,11-3 0,16 2 0,12-3 0,6-6 0,2-6 0,6-7 0,5-5 0,-11-15 0,4-3 0,2-5 0,0-4 0,20-2 0,1-7 0,-2-8 0,-8-9 0,-1-7 0,-5-5 0,15-6 0,-13-10 0,-27-7 0,-16-6 0,-18-21 0,-32 23 0,-51 23 0,9 38 0,-6 12 0,-21 4 0,1 11 0,26 3 0,5 8 0,5 0 0,-6 14 0,16 2 0,23 6 0,24-3 0,39-9 0,21-12 0,-17-20 0,6-6 0,6-4 0,19-1 0,8-6 0,-3-9 0,-12-8 0,-2-7 0,-7-10 0,17-19 0,-23-17 0,-44-14 0,-26-8 0,-26 5 0,-22-3 0,-7 5 0,-10 4 0,-9 7 0,-7 2 0,8 8 0,-6 1 0,-4 4 0,0 8 0,1 10 0,-2 7 0,-1 5 0,2 4 0,7 3 0,-1 3 0,3 4 0,4 6 0,-7 8 0,5 7 0,9 2 0,3 2 0,14 5 0,14 29 0,40-38 0,1-14 0,-1-8 0,-4-3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6:11.153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1511 577 16383,'0'-6'0,"0"0"0,1 1 0,1 3 0,3 1 0,9 17 0,2 2 0,11 20 0,-7-8 0,3 0 0,-9-12 0,-4-9 0,-3-5 0,9-22 0,14-25 0,22-33 0,-5-2 0,4 2 0,-17 28 0,-1 13 0,-4 11 0,-11 12 0,-7 6 0</inkml:trace>
  <inkml:trace contextRef="#ctx0" brushRef="#br0" timeOffset="1104">0 1 16383,'11'3'0,"9"23"0,24 38 0,0 9 0,-15-30 0,2 0 0,31 28 0,-17-31 0,8-6 0,8-48 0,16-30 0,-18 10 0,3-4 0,-5-6 0,-2-2 0,-4 2 0,-6 2 0,4-9 0,-28 15 0,-20 34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6:31.8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0 147 24575,'58'48'0,"-21"-15"0,2 4 0,10 11 0,2 4 0,1 0 0,-3-2 0,11 12 0,-18-21 0,-32-32 0,-3-9 0,13-15 0,20-25 0,-7 5 0,4-5 0,7-16 0,3-3 0,9-7 0,1 1 0,-10 12 0,-2 4 0,-6 8 0,-5 8 0,-2 13 0,-23 13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6:35.9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173 202 24575,'12'11'0,"-1"6"0,3 20 0,-1 15 0,3 23 0,-8 22 0,-4-46 0,-1 1 0,-3 4 0,0-1 0,0 1 0,0-1 0,0 35 0,0-20 0,0-27 0,0-24 0,0-11 0,0-4 0</inkml:trace>
  <inkml:trace contextRef="#ctx0" brushRef="#br0" timeOffset="1222">1 568 24575,'0'-10'0,"0"-6"0,0 3 0,0-16 0,0 4 0,0-13 0,1-11 0,9 1 0,8-11 0,11 8 0,5-1 0,0 5 0,4 7 0,0 5 0,4 12 0,27 4 0,-12 10 0,13 5 0,-20 7 0,-21 1 0,-2 5 0,-10 4 0,3 4 0,-2 4 0,3 3 0,-5 4 0,1 5 0,-7 3 0,2 1 0,-8-9 0,1-3 0,-5-3 0,-7-2 0,-5 2 0,-17 1 0,-6-2 0,-7 1 0,3-6 0,10-6 0,10-5 0,9-2 0,4-2 0,-1 1 0,-4 2 0,0-4 0,2 3 0,5-3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6:39.379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880 120 24575,'0'-16'0,"0"3"0,0-2 0,-7 2 0,-2 4 0,-13-4 0,-2 6 0,-17-5 0,-24 3 0,-11 2 0,-12 2 0,15 5 0,25 6 0,9 4 0,17 11 0,-6 11 0,7 0 0,1 11 0,11-3 0,4-6 0,6-1 0,3-13 0,4-2 0,7-6 0,14-3 0,15 4 0,3-6 0,5 1 0,-1 4 0,2 0 0,12-2 0,0-1 0,-10 3 0,-4 0 0,25 0 0,-31 1 0,-17-3 0,-18 3 0,0 0 0,5 12 0,-6-1 0,0 12 0,-6 6 0,-6-5 0,-8 6 0,-14-4 0,-23-3 0,3-18 0,-8-5 0,-17-2 0,-6-5 0,-5 0 0,-3-3 0,-12-9 0,3-3 0,19-1 0,7-3 0,-29-11 0,36-2 0,48 14 0,2 0 0,3 1 0,0 2 0,2 2 0,1 3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6:44.213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4 1684 24575,'-3'-27'0,"2"-8"0,12-22 0,4-21 0,5-2 0,7-3 0,10-2 0,18 7 0,-22 36 0,2 1 0,35-29 0,-11 19 0,-4 12 0,-11 15 0,15 0 0,5 6 0,-14 7 0,4-1 0,7-4 0,5 2 0,13 3 0,6 2 0,-18 1 0,2 0 0,0 2 0,26 3 0,0 2 0,-26 0 0,1 0 0,-1 0 0,24 1 0,-4 0 0,-13 0 0,-3 0 0,-5 0 0,-3 0 0,-8 0 0,-2 0 0,45 0 0,-41 0 0,1 0 0,-2 0 0,1 0 0,5 0 0,0 0 0,-4 0 0,-1 0 0,1 2 0,0 0 0,-9 2 0,-1 1 0,47 8 0,-1 1 0,-7-1 0,-39-8 0,0 1 0,38 9 0,-31-5 0,0 2 0,-7 2 0,0 0 0,4 1 0,-2-1 0,39 12 0,-22-8 0,-2-1 0,-19-4 0,4 0 0,0 0 0,-8 1 0,7 8 0,-23-6 0,9 7 0,-6-3 0,3 0 0,10 10 0,-7-5 0,2 2 0,-8-5 0,-7-1 0,0 6 0,-3-2 0,-4 0 0,-4-10 0,-8-10 0,-4-9 0,-7-8 0,-15-17 0,-18-34 0,7 14 0,-1-2 0,4 5 0,2 1 0,-25-40 0,29 43 0,13 25 0,3-5 0,5 10 0,-1 1 0,1 4 0,1 4 0,2 3 0,6 7 0,11 11 0,3 9 0,15 13 0,-6 0 0,6 5 0,-10-5 0,-1-2 0,-4-6 0,-5-5 0,-6-8 0,-5-9 0,-3-3 0,2-1 0,-2-1 0,1 7 0,-3-4 0,0 9 0,0-5 0,0 5 0,0-5 0,0-1 0,2 1 0,-1-2 0,3 0 0,-3-2 0,1 3 0,0-1 0,0 3 0,1-5 0,-2-2 0,1-2 0,0 0 0,-1 1 0,1-1 0,-18-1 0,-7 2 0,-51-4 0,9 2 0,-25-3 0,29 0 0,10-3 0,5 2 0,11-5 0,2 5 0,15-1 0,5 2 0,7 0 0,-3 0 0,0 0 0,3 0 0,1 0 0</inkml:trace>
  <inkml:trace contextRef="#ctx0" brushRef="#br0" timeOffset="2816">1378 240 24575,'0'-6'0,"0"-2"0,-3 3 0,-4-3 0,-13 6 0,1-1 0,-11 4 0,12 1 0,3 2 0,6 3 0,2 7 0,4-1 0,3 14 0,7-3 0,4 14 0,4-1 0,13 13 0,0-11 0,14 3 0,-6-16 0,-2-10 0,4-7 0,-9-9 0,1-6 0,-10-2 0,-7-2 0,-8-5 0,-2-2 0,-3-9 0,0-6 0,-5 1 0,2 8 0,-5 8 0,5 12 0,-4 1 0,-2 4 0,1 5 0,-2 5 0,7 4 0,10 11 0,5-2 0,7 5 0,0-8 0,0-5 0,-7-10 0,-1-1 0,-5-16 0,2-4 0,1-19 0,-1-4 0,-4 3 0,-4 9 0,-2 9 0,-1 9 0,-5-1 0,1 1 0,-2 5 0,2 0 0,0 2 0,0 0 0,0 1 0,3 4 0,1 6 0,7 4 0,2 2 0,14 0 0,7-6 0,16-2 0,-2-11 0,-4-4 0,-14-11 0,-8-14 0,-6-13 0,-4-4 0,-1-22 0,-7 25 0,0-7 0,-3 26 0,1 10 0,0 5 0,1 6 0,-3 1 0,1 5 0,-3 17 0,4 16 0,5 27 0,12 17 0,-1-28 0,2 0 0,26 41 0,-6-11 0,6-23 0,-19-29 0,5-8 0,-5-14 0,-2-9 0,0-10 0,-3-6 0,6-17 0,-1 3 0,1-11 0,-4-2 0,-10-14 0,-2 1 0,-6 6 0,-2 21 0,0 21 0,-1 7 0,-4 3 0,-4 1 0,-7 0 0,-2 5 0,6 4 0,4 10 0,10 11 0,13 25 0,5 1 0,7 5 0,-1-16 0,-7-18 0,2-5 0,2-9 0,13 1 0,2-5 0,2-4 0,-7-1 0,-17-4 0,-3 0 0</inkml:trace>
  <inkml:trace contextRef="#ctx0" brushRef="#br0" timeOffset="4483">2296 483 24575,'15'-7'0,"-4"-2"0,3-4 0,-11 0 0,-1 4 0,-4 1 0,-2 0 0,-4 1 0,-5-3 0,1 2 0,0 2 0,4 2 0,2 4 0,0 0 0,0 3 0,-1 5 0,4 2 0,-1 8 0,6-1 0,9 8 0,9 0 0,3-4 0,5-7 0,-10-9 0,-1-3 0,-7-2 0,3-5 0,-5-6 0,0-4 0,1-6 0,-5 0 0,6 0 0,-6 0 0,-1 6 0,-5-2 0,-3 6 0,-3 4 0,3 3 0,-5 4 0,2 2 0,-5 7 0,5 5 0,2 5 0,4 4 0,9-4 0,4 0 0,6-8 0,7-4 0,15-4 0,4-3 0,22-3 0,-27-6 0,4-18 0,-30-14 0,-2-12 0,-6-10 0,-4 8 0,0-16 0,0 10 0,-6 6 0,1 16 0,-2 31 0,3 14 0,4 38 0,0 19 0,0-12 0,0 3 0,1-2 0,0 0 0,3 5 0,2-2 0,13 32 0,1-27 0,-3-26 0,-8-20 0,-3-9 0,2-8 0,2-4 0,2-9 0,-7 5 0,0 1 0</inkml:trace>
  <inkml:trace contextRef="#ctx0" brushRef="#br0" timeOffset="4958">2496 409 24575,'47'-10'0,"26"2"0,-18 0 0,6 1 0,24 3 0,6 1 0,-17 1 0,4 0 0,-3 0-1038,-5 2 0,-1 0 1,-4 0 1037,19 0 0,-11 0 0,-4 0 0,-59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6:51.58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6397 201 24575,'3'-2'0,"-2"3"0,-6 10 0,-15 18 0,-26 15 0,-14 13 0,-12-3 0,-5 1 0,33-25 0,-1 0 0,0-2 0,-1 0 0,-13 12 0,-1 1 0,2-6 0,0-1 0,-10 5 0,-3-3 0,-6-4 0,-5-3 0,19-7 0,-4-1 0,1-2 0,0-4 0,0-1 0,-1 1-179,-7 5 0,-3 1 1,1 0 178,-2-2 0,-1 0 0,2 0 0,5-1 0,1-1 0,-1 0 0,-5 1 0,-1-1 0,1-3 0,10-2 0,0-3 0,0-1 0,-4-2 0,0-2 0,-2 0 0,-9-1 0,-2-1 0,0-1 0,4-1 0,0 0 0,-2 0 0,-5 0 0,-1 0 0,1 0 0,9 0 0,2 0 0,-1 0 0,-4-1 0,0 0 0,4 0 0,-16-2 0,4 0 0,7 1 0,5 0 0,22-2 0,5-2 0,-33-12 0,32 8 0,-2-2 0,-7-7 0,-5-2 0,3 2 0,-6 0 0,-1 0-176,-2 0 1,-1-1-1,-4-1 176,5 0 0,-2-1 0,-2 1 0,4 0 0,-10-1 0,3 2 0,2 0 0,8 1 0,1 0 0,8 2 0,4 2 0,9 3 522,7 0-522,31 4 0,1-1 0,-11-43 0,-3-24 0,-4 13 0,-3-5 270,8 7 1,1 1-271,-3 9 0,2 5 0,3-9 0,15 37 0,4 13 0,-1 8 0,1 12 0,-6 15 0,-2 4 0,-15 17 0,-15 4 0,-9 5 0,0-5 0,11-13 0,17-20 0,5-7 0,8-12 0,0-13 0,18-44 0,11-9 0,8-2 0,6-4 0,-5 14 0,2 1 0,5-2 0,0 4 0,8-11 0,-21 37 0,-18 19 0,-2 3 0,6 12 0,7 11 0,23 20 0,0 6 0,15 5 0,7 4 0,6-11 0,-8 1 0,-21-21 0,-22-9 0,-14-10 0,-3-2 0,1 1 0</inkml:trace>
  <inkml:trace contextRef="#ctx0" brushRef="#br0" timeOffset="1516">2450 1466 24575,'65'0'0,"-17"0"0,6 0 0,24 0 0,3 0 0,-7 0 0,-5 0 0,30 0 0,-55 0 0,-34 0 0</inkml:trace>
  <inkml:trace contextRef="#ctx0" brushRef="#br0" timeOffset="1999">2893 1457 24575,'2'3'0,"2"7"0,-1 5 0,7 11 0,-5 13 0,4-10 0,-4 6 0,4-9 0,-1 3 0,3 2 0,-3 7 0,0-14 0,-4-2 0,0-16 0</inkml:trace>
  <inkml:trace contextRef="#ctx0" brushRef="#br0" timeOffset="2350">3102 1709 24575,'30'2'0,"-6"2"0,8 2 0,-5 1 0,-1-3 0,-5-5 0,-13-5 0,-6-10 0,-3 9 0,-2-4 0</inkml:trace>
  <inkml:trace contextRef="#ctx0" brushRef="#br0" timeOffset="3650">3161 1627 24575,'-19'4'0,"6"7"0,-1 12 0,11 15 0,22 20 0,12-2 0,15-6 0,-1-20 0,-4-19 0,11-10 0,-3-18 0,9-5 0,-24-6 0,-11-6 0,-15 11 0,-9-8 0,-2 13 0,-3 0 0,-3 6 0,1 4 0,-4 3 0,5 5 0,1 2 0,3 2 0,4 6 0,10 8 0,8 10 0,6 0 0,19 12 0,-2 1 0,7 7 0,-18-8 0,-14-11 0,-28-11 0,-17-9 0,-9-1 0,1-9 0,13-2 0,13-4 0,5-3 0,9-9 0,23-6 0,23-9 0,27 6 0,-14 0 0,-12 11 0,-33-1 0,-11-2 0,-10-4 0,-1-9 0,-6-1 0,-23-47 0,16 34 0,-13-18 0,24 50 0,6 15 0,12 22 0,23 39 0,-4 1 0,7 18 0,-24-34 0,-7-4 0,0-12 0,-3 5 0,-1-12 0,-3 0 0,0-8 0,0-1 0,-2-7 0,-1-4 0,-2-6 0,1 2 0,0-2 0</inkml:trace>
  <inkml:trace contextRef="#ctx0" brushRef="#br0" timeOffset="4049">3814 1844 24575,'31'-7'0,"2"0"0,11-2 0,-13 1 0,3 5 0,6 0 0,8 2 0,8 0 0,20 3 0,3 0 0,-17-1 0,-2 1 0,2 0 0,-14 0 0,-30 1 0</inkml:trace>
  <inkml:trace contextRef="#ctx0" brushRef="#br0" timeOffset="4666">4521 1652 24575,'15'13'0,"-1"6"0,4 24 0,1 17 0,-9-8 0,5 8 0,-9-27 0,-2-4 0,-1-11 0,-3-10 0,-2-6 0,-4-9 0,2 4 0,-1-5 0</inkml:trace>
  <inkml:trace contextRef="#ctx0" brushRef="#br0" timeOffset="5059">4535 1898 24575,'51'-13'0,"6"-1"0,10-3 0,-22 5 0,-23 8 0,-20 2 0</inkml:trace>
  <inkml:trace contextRef="#ctx0" brushRef="#br0" timeOffset="7200">5507 1565 24575,'0'-18'0,"-5"-5"0,-3 9 0,-3-5 0,-1 12 0,-9 2 0,-27 12 0,-17 20 0,-20 12 0,19 20 0,25-3 0,26-4 0,32 7 0,39 6 0,12-12 0,-16-28 0,2-6 0,23-8 0,-1-17 0,-38-7 0,-15-10 0,-17 0 0,-7-13 0,-2 11 0,-6-1 0,-3 18 0,-2 4 0,-5 6 0,-2 12 0,4 15 0,4 11 0,16 7 0,5-12 0,9-8 0,-4-15 0,3-1 0,-5-9 0,3-1 0,0-14 0,-3-5 0,0-17 0,-6-6 0,-6-4 0,-5 5 0,-2 14 0,2 12 0,1 8 0,-2 4 0,-2-1 0,-1 3 0,3 0 0,4 7 0,2 7 0,1 6 0,7 3 0,-3-10 0,5-5 0,5-6 0,4-8 0,6-11 0,4-18 0,-4-5 0,-9 9 0,-3 11 0,-11 19 0,16 24 0,15 19 0,5 20 0,7-4 0,-22-21 0,-9-23 0,-10-14 0,1-31 0,8-22 0,11-39 0,11 7 0,-8 16 0,-5 35 0,-15 27 0,4 18 0,16 24 0,6 10 0,14 20 0,-15-20 0,-4-5 0,-16-23 0,-5-3 0,-4-8 0,-2-3 0,0-1 0</inkml:trace>
  <inkml:trace contextRef="#ctx0" brushRef="#br0" timeOffset="7850">6281 1595 24575,'-10'0'0,"-3"2"0,-3 14 0,5 7 0,2 14 0,7 14 0,4-16 0,3 4 0,1-25 0,9-6 0,4-6 0,8-7 0,18-3 0,2-7 0,-8 4 0,-11-1 0,-22 5 0,-4 1 0,1-1 0,-3 4 0,0-1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7:35.36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0 265 22905,'5'-2'0,"4"1"817,3 2-817,12 21 280,3 52-280,-10-19 0,-2 7 71,-3 18 0,-4 5-71,1 5 0,-3-2 215,-5-14 1,-2-4-216,1-10 0,0-5 0,3 6 0,-2-34 0,0-15 0,-1-11 0,-1 1 0</inkml:trace>
  <inkml:trace contextRef="#ctx0" brushRef="#br0" timeOffset="601">370 279 24575,'3'12'0,"3"28"0,-1 29 0,0 29 0,-4-38 0,0 3 0,-1 3 0,0 0 0,-2-12 0,1-2 0,0 39 0,-3-51 0,4-15 0,3-12 0,22-7 0,28-2 0,32-4 0,-33-1 0,-1 2 0,17 0 0,-18 0 0,-39 2 0,-5-1 0,-3-1 0,0-1 0</inkml:trace>
  <inkml:trace contextRef="#ctx0" brushRef="#br0" timeOffset="1467">1116 567 24575,'16'56'0,"8"29"0,-10-23 0,1 3 0,1-4 0,-1-1 0,-1-3 0,-2-5 0,2 6 0,-5-25 0,-9-25 0,-3-14 0,-12-53 0,3 9 0,-2-6 0,-8-22 0,-2-7 0,6 20 0,0-3 0,2 3 0,-4-9 0,3 5 0,2 9 0,5 7 0,14 9 0,9 25 0,6 6 0,10 8 0,-6 3 0,7 6 0,0 11 0,-3 3 0,1 9 0,-5 5 0,-10-2 0,-1 11 0,-18-12 0,-18 5 0,-44-5 0,-6 2 0,5-7 0,26-7 0,35-10 0,5-4 0,0-2 0</inkml:trace>
  <inkml:trace contextRef="#ctx0" brushRef="#br0" timeOffset="2650">2130 1128 24575,'47'-2'0,"39"-5"0,-3 2 0,10 0 0,-23 2 0,3 1 0,1-1-485,12 1 1,3 0 0,-3 0 484,-9 2 0,-1 0 0,-4 0 0,15 0 0,-9 0 472,13-1-472,-57-7 241,-32-3-241,-9-7 0,-6-1 0,-32-36 740,-21-2-740,26 19 0,0 2 0,-25-12 0,30 28 0,29 19 0,18 17 0,11 11 0,11 4 0,34 26 0,1-5 0,-26-20 0,0 1 0,18 13 0,-20-16 0,-23-16 0,-11-3 0,-10 4 0,-6 1 0,-11 7 0,-35 22 0,-22 10 0,26-20 0,-2 2 0,6-5 0,3-2 0,-13 6 0,28-14 0,21-19 0,6-3 0,1-1 0,1 0 0</inkml:trace>
  <inkml:trace contextRef="#ctx0" brushRef="#br0" timeOffset="3884">1068 0 24575,'-20'26'0,"-21"34"0,12-17 0,1 5 0,-4 30 0,2 6 0,5-10 0,5 2 0,7 9 0,5 0 0,6-15 0,3-5 0,9 34 0,16-10 0,17-27 0,10-15 0,-8-13 0,-18-20 0,-15-9 0</inkml:trace>
  <inkml:trace contextRef="#ctx0" brushRef="#br0" timeOffset="4550">1207 146 24575,'26'0'0,"0"5"0,16 11 0,-5 12 0,5 7 0,18 13 0,3 6 0,-13-7 0,1 2 0,0 2 0,1 1 0,1 0 0,-4 0 0,11 15 0,-8-2 0,-16-13 0,-8-1 0,0 26 0,-45-7 0,-18 9 0,-14-8 0,-11-2 0,9-26 0,14-13 0,10-14 0,17-9 0,7-4 0</inkml:trace>
  <inkml:trace contextRef="#ctx0" brushRef="#br0" timeOffset="5317">4446 609 24575,'10'62'0,"6"15"0,0 8 0,-4 6 0,0-31 0,-12-5 0,4-14 0,-3-4 0,3-11 0,-2-10 0,2-10 0</inkml:trace>
  <inkml:trace contextRef="#ctx0" brushRef="#br0" timeOffset="5767">4704 876 24575,'4'-2'0,"7"17"0,0 17 0,1 19 0,-6 22 0,-3 1 0,-3 4 0,0-14 0,0-20 0,0-23 0,0-14 0</inkml:trace>
  <inkml:trace contextRef="#ctx0" brushRef="#br0" timeOffset="6413">4884 797 24575,'-5'28'0,"-6"1"0,-7 27 0,-2-4 0,-2 12 0,8-17 0,3-23 0,6-6 0,11-11 0,7 5 0,5 2 0,32 6 0,30 7 0,2-1 0,-12-7 0,-40-9 0</inkml:trace>
  <inkml:trace contextRef="#ctx0" brushRef="#br0" timeOffset="6901">5352 569 24575,'-8'14'0,"3"14"0,-2 23 0,6 23 0,1 5 0,0-11 0,1-17 0,6-22 0,15-1 0,32 9 0,16 10 0,15-5 0,-32-15 0,-19-16 0,-29-11 0</inkml:trace>
  <inkml:trace contextRef="#ctx0" brushRef="#br0" timeOffset="7667">5854 803 24575,'-19'-4'0,"2"6"0,4 13 0,5 2 0,6 15 0,8-11 0,2 2 0,4-9 0,5-2 0,-1-2 0,6 3 0,-8-2 0,1 2 0,-9 0 0,-2 1 0,-6 5 0,-6-1 0,-14 2 0,-19 0 0,-5-6 0,3 0 0,15-10 0,14 0 0,8-4 0,4 0 0</inkml:trace>
  <inkml:trace contextRef="#ctx0" brushRef="#br0" timeOffset="8284">5883 780 24575,'7'-5'0,"4"-1"0,14 1 0,-1 2 0,-2 1 0,-3 6 0,-11 5 0,3 4 0,-6 7 0,-3 17 0,-2-3 0,0 18 0,0-12 0,-4-4 0,-7-5 0,-13-3 0,-20 10 0,19-17 0,-5 3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7:44.91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1 219 24575,'21'16'0,"10"24"0,4 46 0,-13-29 0,-1 6 0,-1 10 0,-3 4 0,-7 5 0,-2 0 0,-2-12 0,-3-2 0,-6-8 0,-2-4 0,-1 11 0,6-32 0,9-23 0,-4-8 0,4-4 0</inkml:trace>
  <inkml:trace contextRef="#ctx0" brushRef="#br0" timeOffset="651">545 402 24575,'-16'43'0,"-2"13"0,11-8 0,3 6 0,0 11 0,4 1 0,7-2 0,3-2 0,1-4 0,2-5 0,17 17 0,7-33 0,6-20 0,29-13 0,-21-12 0,3-6 0,7-9 0,-1-7 0,-4-4 0,-6-7 0,-7-13 0,-12-7 0,-12-6 0,-13-5 0,-18-21 0,-12-2 0,-1 6 0,-6 4 0,-5 7 0,-2 9 0,-17-10 0,27 56 0,3 32 0,-2 28 0,-10 17 0,10 6 0,6-18 0,14-21 0,6-16 0</inkml:trace>
  <inkml:trace contextRef="#ctx0" brushRef="#br0" timeOffset="1501">2118 362 24575,'2'34'0,"0"18"0,-2 24 0,2-22 0,1 2 0,2 37 0,2-39 0,1-5 0,1-2 0,-3-17 0,-10-34 0,-13-25 0,-9-47 0,10 16 0,3-6 0,1-24 0,4-1 0,2 15 0,5 4 0,4 9 0,5 9 0,18 4 0,3 34 0,-2 4 0,-1 13 0,-5 15 0,0 6 0,-1 11 0,-3 23 0,-9 5 0,0 13 0,-12-5 0,-8-17 0,-3-12 0,-3-17 0,9-13 0,4-6 0</inkml:trace>
  <inkml:trace contextRef="#ctx0" brushRef="#br0" timeOffset="2067">2803 1 24575,'0'17'0,"2"12"0,3 4 0,3 11 0,0 9 0,-2 10 0,-4 16 0,-2 9 0,-7-1 0,-7 4 0,-17-12 0,-11-8 0,15-33 0,3-17 0</inkml:trace>
  <inkml:trace contextRef="#ctx0" brushRef="#br0" timeOffset="2784">1883 246 24575,'-12'26'0,"-10"16"0,-8 33 0,1-3 0,5 9 0,15-27 0,12 7 0,22 5 0,12 11 0,-8-33 0,6-1 0,11 8 0,8-2 0,17 0 0,3-5-1131,-13-8 0,-2-5 1,-4-5-1,-8-8 0,-16-11 1</inkml:trace>
  <inkml:trace contextRef="#ctx0" brushRef="#br0" timeOffset="3967">3420 754 24575,'5'-2'0,"2"1"0,4 3 0,11 2 0,48-1 0,-19-1 0,6-1 0,27-1 0,7 0 0,5 0 0,-1 0 0,-15 0 0,-6 0 0,-18 0 0,-10 0 0,-7 0 0,-38-6 0,-7-6 0,-5-6 0,-1 0 0,2 3 0,0 3 0,3 4 0,3 4 0,6 6 0,19 15 0,12 13 0,23 26 0,-23-17 0,1 1 0,22 32 0,-8-7 0,-27-31 0,-12-14 0,-22-10 0,-27 9 0,-6-6 0,0 3 0,22-7 0,19-5 0,4-2 0,0-1 0</inkml:trace>
  <inkml:trace contextRef="#ctx0" brushRef="#br0" timeOffset="4867">5269 541 24575,'0'-9'0,"3"-9"0,7 3 0,3-5 0,7 10 0,-3 5 0,5 16 0,7 27 0,-2 34 0,-15-20 0,-3 5 0,-2 4 0,-3 1 0,-4-8 0,0-4 0,-6 26 0,-4-39 0,-10-22 0,5-8 0,-2-4 0,9-16 0,3-6 0,1-1 0,8 2 0,9 15 0,11 7 0,8 3 0,1 5 0,-10-4 0,-3 1 0,14-6 0,38 10 0,-13-2 0,6-1 0,6-3 0,-2 0 0,30 9 0,-37-16 0</inkml:trace>
  <inkml:trace contextRef="#ctx0" brushRef="#br0" timeOffset="5367">6154 365 24575,'-11'21'0,"-1"12"0,3 10 0,3 19 0,3 28 0,12-6 0,-2-32 0,4 0 0,17 17 0,11 0 0,-5-29 0,7-3 0,28-11 0,-39-14 0,20 2 0</inkml:trace>
  <inkml:trace contextRef="#ctx0" brushRef="#br0" timeOffset="6051">6638 488 24575,'-8'-3'0,"-5"-2"0,-7 6 0,3 5 0,2 14 0,9 20 0,4 10 0,0 9 0,15-7 0,-2-19 0,11-14 0,0-14 0,-6-5 0,8 0 0,-14 0 0,9 0 0,-7 6 0,3 9 0,-5 12 0,-4 7 0,-11 5 0,-12-7 0,-21-8 0,-10-13 0,7-7 0,8-8 0,20-4 0,6 2 0,1-1 0,5 6 0</inkml:trace>
  <inkml:trace contextRef="#ctx0" brushRef="#br0" timeOffset="6700">6806 197 24575,'17'13'0,"12"8"0,23 13 0,8 20 0,-24-18 0,-1 5 0,-9 3 0,-4 2 0,13 42 0,-24-7 0,-20-33 0,-17-3 0,-12-12 0,-7-3 0,6-3 0,2 0 0,7-7 0,2 0 0,13-8 0,8-9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7:54.78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273 1514 24575,'-2'9'0,"3"5"0,9 3 0,11 13 0,54 24 0,-14-23 0,10-1 0,0-5 0,9-1 0,3-4-481,-7-6 0,2-3 0,4-2 0,2-1 481,-6-1 0,2 0 0,3-2 0,-1-1 0,0-1 0,18-3 0,0-3 0,0-1 0,0 0 0,-1 0 0,2-1 0,-3-1 0,-4-3 0,10-5 0,-5-3 0,-6-4 0,-16 1 0,-3-3 0,-9-3 0,2-12 0,-13-7 0,-18-3 0,-11-5 0,-17 1 0,-9-2 0,-4-13 0,-5 0 0,-2 2 0,-3 1 962,-2-4 0,-2 1-962,2 4 0,-3 1 0,-3 5 0,-3 1 0,-7-9 0,-7 0 0,-19-10 0,-8 2 0,0 4 0,-5 2-299,16 21 1,-2 1 0,-3 6 298,2 7 0,-1 5 0,-3 2 0,-11-1 0,-4 3 0,0 4 0,3 6 0,-1 5 0,-2 0 0,-7-2 0,-1 1 0,-1 2 0,0 5 0,-1 3 0,2 0 0,13 0 0,1 1 0,1 1 0,-2 2 0,0 1 0,5 1 0,-9 3 0,6 3 0,17 1 0,6 3 0,-28 15 0,36-11 0,11 7 895,0-3-895,-12 30 0,-13 19 0,21-26 0,1 3 0,4 8 0,4 2 0,3-6 0,3 1 0,6 8 0,5 1 0,10 33 0,5-38 0,5-2 0,20 25 0,-2-25 0,7 0 0,2-12 0,2-2 0,4 1 0,2-2 0,-2-6 0,-1-3 0,30 18 0,-7-9 0,-17-15 0,-19-13 0,-19-14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7:57.163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0 148 24575,'14'4'0,"25"19"0,8 8 0,-4 1 0,3 2 0,16 14 0,20 9 0,-32-24 0,24-8 0,-7-14 0,30-31 0,-47 1 0,0-7 0,14-18 0,1-5 0,-4 3 0,0 0 0,3-4 0,-5 4 0,14-11 0,-30 25 0,-33 25 0,-10 4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8:00.813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40 581 10709,'-14'7'0,"2"-1"5024,1 0-5024,9-6 2413,18-20-2413,50-31 0,6 2 0,13-1 0,-15 15 0,5 3 0,4 0 225,-10 4 0,4 1 0,1 1 1,-1 4-226,20 1 0,0 6 0,-3 4 0,-14 5 0,-2 3 0,-4 4 0,18 3 0,-10 9 2441,-28 7 0,-7 2-2441,14 11 0,-17 6 0,-15-15 0,-3-3 0,-10-10 646,-17-20-646,-18-26 0,-19-28 0,11 18 0,1-1 0,-14-25 0,2 10 0,30 40 0,5 12 0,20 19 0,26 15 0,35 32 0,-13-15 0,4 2 0,-1 5 0,1 2 0,3 2 0,-3 1 0,-17-11 0,-7-3 0,9 18 0,-26-22 0,-17-21 0,-9-12 0,-15-4 0,-13-1 0,-33 0 0,-10 9 0,23 0 0,-1 0 0,-15 6 0,13 1 0,40-12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8:02.580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 55 24575,'58'-9'0,"1"0"0,4 4 0,7 2 0,4-1 0,12-2 0,5 0 0,3 1-593,-13 2 1,4 1-1,1 1 1,-3 0 592,-5 1 0,0 0 0,-3 0 0,-5 0-545,26 0 1,-9 0-1,-15 0 1,-19 0 0,-39 0-1</inkml:trace>
  <inkml:trace contextRef="#ctx0" brushRef="#br0" timeOffset="300">645 130 8191,'-31'8'0,"13"-5"5063,14 1-5063,73-4 0,-19-3 0,6 0 0,35 2 0,10 1 0,-16-2 0,6 0 0,-1 0 515,-5 2 1,-1 0 0,0 0-516,1 0 0,-1 0 0,-7 0 0,0 0 0,-12 0 0,-4 0 0,-42 0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8:04.378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56 0 24575,'-30'8'0,"5"-2"0,48 7 0,65-10 0,-10 3 0,11-2 0,-14-3 0,5-1 0,0-1 0,1 1 0,0 0 0,-3 0 0,22 0 0,-11 0 0,8 0 0,-57 0 0,-81 0 0,-31 0 0,-10 0 0,-8 0 0,10 4 0,-5 2 0,1 1 0,6-1 0,1 1 0,8 1 0,3 3 0,9 2 0,-4 6 0,68-12 0,44-5 0,-4 0 0,9 0 0,37-2 0,9 0 0,-31 0 0,1 0 0,0 0-144,3 0 1,0 0 0,-6 0 143,4 0 0,-10 0 0,7 0 0,-56 0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8:06.908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146 123 24575,'4'2'0,"-1"-5"0,-1-8 0,-2-9 0,-6-2 0,2 0 0,-8 5 0,4 7 0,-8-2 0,2 9 0,-7-2 0,2 10 0,-3 7 0,4 8 0,6 9 0,10 2 0,15 7 0,13-3 0,8 1 0,16-7 0,-13-11 0,5-6 0,-25-9 0,-3-3 0,4 9 0,-3 4 0,10 11 0,-13 4 0,-4 9 0,-10 6 0,-9-4 0,-8-3 0,-11-19 0,-20-9 0,-2-17 0,3-2 0,12-6 0,16 0 0,10 7 0,-3-2 0,11 8 0,-1 0 0,2 4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18:10.73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503 1539 24575,'47'4'0,"1"-3"0,11 0 0,12 0 0,11-2 0,3 1 0,-13 0 0,3 0 0,2 0 0,3 0-1093,16 0 0,4 0 0,2 0 0,-2 0 1093,-4 1 0,-1 0 0,0 0 0,-2 0 0,-7-1 0,0 0 0,-2 0 0,-4 1 184,12 0 0,-4 0 0,-9 0-184,-1-1 0,-11 0 0,5 0 0,-55 0 882,-10-6-882,1-1 0,5-11 0,1 0 2238,0-3-2238,-1-3 700,-1-11-700,5-14 0,0-41 0,-2 29 0,2-4 0,1-13 0,1-5 0,-1 12 0,1-4 0,-1 3 0,3-21 0,-2 3 0,2-1 0,-3 5 0,-10 25 0,-2 8 0,2-9 0,-8 21 0,0 22 0,-3 7 0,2-2 0,-5-2 0,2-2 0,-6-2 0,5 5 0,-6-2 0,-1 8 0,-36-8 0,-33 1 0,19 9 0,-7 1 0,2 2 0,-5 0 0,-1 1 0,-2 2 0,-1 2 0,-2-1-323,-16 0 0,-4 0 1,-2 0 322,19 0 0,-1 0 0,-1 0 0,0 0-538,3 0 0,0 0 0,0 0 0,-1 0 538,-5 0 0,-1 0 0,0 0 0,1 0 0,6 0 0,0 0 0,2 0 0,4 0 0,-4 0 0,5 0 0,3 0 0,-17 0 0,12 0 0,10 0 0,43 0 861,12-2-861,6 1 2259,-2-2-2259,-4 3 0,-11 0 0,-1 0 0,2 0 0,6 0 0,7 5 0,-9 17 0,-12 26 0,-13 32 0,13-17 0,3 4 0,4-1 0,3 1 0,3 7 0,5 0 0,5-9 0,5-1 0,3 3 0,2 0 0,-2-7 0,-2-1 0,2 1 0,0-4 0,-3 19 0,1-19 0,4-22 0,-3-11 0,2-4 0,-3-6 0,1-1 0,2 0 0,10 6 0,33 1 0,5-2 0,10-2 0,24-4 0,2-3 0,-16 2 0,-3-1 0,-6-6 0,-11-3 0,-31 0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22:22.20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4 24575,'16'-2'0,"0"1"0,-1 1 0,2 0 0,3 0 0,1 0 0,4 0 0,-1 0 0,1 0 0,-4 0 0,2 0 0,-6 0 0,-5 0 0,-1 0 0,-5 0 0,3 0 0,-3 0 0,2 0 0,-2 0 0,0 0 0,-3 0 0,0 0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22:25.51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57 51 24575,'7'-3'0,"10"-1"0,-8 1 0,5 0 0</inkml:trace>
  <inkml:trace contextRef="#ctx0" brushRef="#br0" timeOffset="1367">1 4 24575,'2'-2'0,"8"1"0,20 1 0,32 0 0,6 0 0,0 0 0,-29 0 0,-17 1 0,-13 1 0,-1-1 0,-3 0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22:47.80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44 1 24575,'10'37'0,"-2"1"0,-3 1 0,-3 7 0,0-11 0,2 3 0,-3-14 0,1-13 0,-9-15 0,-3-10 0,-7-11 0,3 1 0,1-6 0,4 1 0,4 7 0,3 2 0,2 9 0,4 2 0,6 0 0,9 4 0,4 1 0,10 9 0,44 30 0,-35-12 0,4 4 0,24 17 0,5 4 0,0 2 0,-1 1 0,-5-3 0,-3-2 0,-10-6 0,-5-3 0,13 7 0,-32-21 0,-7-14 0,-14-11 0,2-15 0,-11-30 0,1-18 0,-3-18 0,4-13 0,-3 35 0,5 7 0,-6 40 0,2 9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22:32.73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65 24575,'17'39'0,"18"23"0,13 22 0,-19-37 0,1 0 0,19 30 0,-6-16 0,-18-25 0,-6-10 0,-12-14 0,-2-6 0,4-8 0,4-11 0,8-20 0,14-25 0,5-23 0,-3 17 0,-11 9 0,-12 33 0,-9 12 0,-1 1 0,1 2 0,-2 1 0,1-1 0,0 2 0,-2 1 0,-1 3 0</inkml:trace>
  <inkml:trace contextRef="#ctx0" brushRef="#br0" timeOffset="1150">627 621 24575,'4'7'0,"2"19"0,8 22 0,-1 18 0,9 11 0,-9-14 0,0-15 0,-10-26 0,-2-15 0,-11-23 0,1-5 0,-4-7 0,-2 0 0,4-3 0,2 9 0,4-10 0,4 1 0,2-15 0,10 4 0,-2 1 0,7 19 0,1 9 0,0 7 0,5 4 0,-1 12 0,-4 3 0,-2 4 0,-1 3 0,-9-2 0,-1 4 0,-20 2 0,-2-4 0,-13 0 0,5-5 0,-1-4 0,14-5 0,1-4 0</inkml:trace>
  <inkml:trace contextRef="#ctx0" brushRef="#br0" timeOffset="1716">1251 460 24575,'22'-1'0,"14"-3"0,19-4 0,-1 0 0,-14 2 0,-22 3 0,-16 3 0</inkml:trace>
  <inkml:trace contextRef="#ctx0" brushRef="#br0" timeOffset="2133">1199 618 24575,'3'1'0,"11"1"0,16-2 0,56 0 0,5-5 0,-34 1 0,-2-2 0,11-3 0,-31 0 0,-26 6 0</inkml:trace>
  <inkml:trace contextRef="#ctx0" brushRef="#br0" timeOffset="4117">2169 134 24575,'15'1'0,"4"-1"0,27 9 0,20-7 0,23 6 0,0-8 0,-30 0 0,-26 0 0,-31 0 0,-22 3 0,-25 2 0,-18 3 0,-3 1 0,12-1 0,20-4 0,16-2 0,5-2 0,7 0 0,-4 4 0,2-2 0,-2 3 0,3-4 0,1 0 0,2 1 0,-1 1 0,4 2 0,5 6 0,10 10 0,23 18 0,6 2 0,8 3 0,-15-13 0,-7-6 0,-14-11 0,-3-2 0,-5-5 0,-5-2 0,-1 4 0,-10 7 0,-5 3 0,-21 17 0,2-9 0,-8 5 0,9-11 0,13-8 0,6-2 0,18-5 0,10 1 0,34 6 0,6 2 0,14 3 0,-16-5 0,-20-7 0,-15-2 0,-9-4 0,-1 0 0,4 0 0,2-2 0,-4 2 0,-3-2 0</inkml:trace>
  <inkml:trace contextRef="#ctx0" brushRef="#br0" timeOffset="4800">3113 127 19779,'-6'0'0,"-2"0"2238,-3 1-2238,-1 5 815,-2 3-815,6 10 421,0 16-421,6 34 1322,6 23-1322,2-37 0,3 2 0,2 0 0,2-2 0,12 23 0,3-14 0,-8-30 0,3-8 0,3-3 0,9-3 0,28 0 0,14 3 0,-20-11 0,-12-1 0</inkml:trace>
  <inkml:trace contextRef="#ctx0" brushRef="#br0" timeOffset="6050">3487 567 24575,'-2'-12'0,"2"-2"0,7-3 0,1 2 0,8 2 0,-2 4 0,-2 4 0,1 4 0,-6 4 0,0 1 0,0 5 0,-2 5 0,-2 6 0,-3 7 0,-7 7 0,-6 3 0,-9 4 0,4-10 0,4-8 0,9-16 0,6-4 0,7-14 0,9-3 0,7-18 0,5-3 0,-5-2 0,-3 7 0,-7 6 0,-6 8 0,-2 4 0,-5 6 0,1-1 0,-2 3 0,-3 8 0,0 9 0,-4 7 0,0 5 0,2-2 0,2-1 0,4-4 0,0-2 0,4-4 0,0 2 0,10 6 0,3-3 0,0-1 0,-4-9 0,-9-5 0,-2-2 0</inkml:trace>
  <inkml:trace contextRef="#ctx0" brushRef="#br0" timeOffset="6466">3777 636 24575,'6'-1'0,"1"9"0,1 8 0,-3 6 0,-2 2 0,-3-1 0,6 16 0,0-9 0,3 7 0,-4-21 0,-3-8 0,-2-7 0</inkml:trace>
  <inkml:trace contextRef="#ctx0" brushRef="#br0" timeOffset="7007">3938 623 24575,'56'0'0,"0"0"0,10 0 0,3 0 0,9 0 0,1 0 0,-4 0 0,-5 0 0,17 0 0,-39 0 0,-38 0 0</inkml:trace>
  <inkml:trace contextRef="#ctx0" brushRef="#br0" timeOffset="8345">3796 555 24575,'0'0'0</inkml:trace>
  <inkml:trace contextRef="#ctx0" brushRef="#br0" timeOffset="8450">3796 555 24575,'0'0'0</inkml:trace>
  <inkml:trace contextRef="#ctx0" brushRef="#br0" timeOffset="9466">5014 514 24575,'18'23'0,"5"5"0,22 11 0,24 22 0,-7-18 0,4 2 0,-8-2 0,-2-1 0,3-3 0,-6-5 0,-1 3 0,-39-29 0,-11-5 0</inkml:trace>
  <inkml:trace contextRef="#ctx0" brushRef="#br0" timeOffset="10369">5384 588 24575,'-6'8'0,"-1"3"0,-12 8 0,-2 8 0,-9 5 0,-25 14 0,14-7 0,-17-2 0,31-15 0,11-12 0,12-5 0,3-4 0</inkml:trace>
  <inkml:trace contextRef="#ctx0" brushRef="#br0" timeOffset="11150">4922 564 24575,'-1'-4'0,"13"0"0,27-7 0,15 2 0,12 1 0,-5 4 0,-24 4 0,-8 0 0,-15 0 0,-5 0 0,3 0 0,4 0 0,34 0 0,29 0 0,-26 0 0,-1 0 0,28 0 0,-28 0 0,-43 0 0</inkml:trace>
  <inkml:trace contextRef="#ctx0" brushRef="#br0" timeOffset="11867">5992 168 24575,'8'28'0,"1"9"0,13 49 0,-10-35 0,2 4 0,8 19 0,0 5 0,-1 6 0,-2-1 0,-2-11 0,-3-1 0,-3-4 0,-4-4 0,-7 21 0,-9-32 0,-8-14 0,-31-14 0,-3-7 0,-8-2 0,-13-1 0,-2 0 0,-1 2 0,5-2 0,-27 0 0,62-6 0</inkml:trace>
  <inkml:trace contextRef="#ctx0" brushRef="#br0" timeOffset="12867">6143 49 24575,'6'-15'0,"6"2"0,10 3 0,4 3 0,10 4 0,11 15 0,2 6 0,-4 8 0,-15 7 0,-17 8 0,-7 14 0,-5-6 0,-7-2 0,-4-23 0,-1-9 0,-1-3 0,8-9 0,2 0 0,15-2 0,7-2 0,16-5 0,1 1 0,-3-1 0,-13 3 0,-10 3 0,-10 0 0</inkml:trace>
  <inkml:trace contextRef="#ctx0" brushRef="#br0" timeOffset="13934">2857 1459 24575,'78'0'0,"10"0"0,16 0 0,-32 0 0,5 0 0,5 0 0,2 0-1242,1 0 0,3 0 0,4 0 1,1 0-1,0 0 1242,-11 0 0,2-1 0,1 1 0,0 0 0,0 0 0,2 1 0,3 0 0,3 0 0,0 0 0,-1 1 0,0-1 0,-3 0 0,7 0 0,-2-1 0,-1 0 0,-1 0 0,-1 1 34,-5 0 0,0 1 0,-1 0 0,-3-1 0,-4 0-34,21 0 0,-6-1 0,-7-1 659,8 1 0,-12 0-659,17 0 0,-64 0 0,-29 0 0,-3 0 0,0 0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22:49.56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1 280 24575,'21'21'0,"7"15"0,21 24 0,6 11 0,-18-29 0,2 0 0,22 24 0,-6-3 0,-19-27 0,-11-12 0,11-7 0,6-8 0,6-11 0,4-28 0,-13-9 0,1-32 0,-22-7 0,-6 1 0,-12 12 0,0 24 0,0 23 0,0 4 0,0 11 0,0 1 0</inkml:trace>
  <inkml:trace contextRef="#ctx0" brushRef="#br0" timeOffset="901">1108 731 24575,'-3'-4'0,"-5"-4"0,5 5 0,-3-2 0,-2 6 0,-1 6 0,-3 4 0,4 7 0,2 3 0,5-5 0,2-4 0,2-6 0,5-5 0,8 1 0,4-2 0,1 5 0,-5 0 0,1 14 0,-4 0 0,5 21 0,1 9 0,-8-7 0,-1-1 0,-14-21 0,-5-10 0,-7-5 0,-13-18 0,-10-7 0,4-3 0,3 3 0,18 9 0,4 4 0,7 1 0,1 1 0,3 2 0,0 2 0</inkml:trace>
  <inkml:trace contextRef="#ctx0" brushRef="#br0" timeOffset="1306">1574 625 24575,'-3'-5'0,"3"1"0,10-4 0,7 0 0,17 0 0,-5 4 0,-4 2 0,-13 2 0</inkml:trace>
  <inkml:trace contextRef="#ctx0" brushRef="#br0" timeOffset="1684">1599 713 24575,'10'-1'0,"5"-4"0,11-5 0,3-3 0,6 6 0,-10-1 0,-6 7 0,-12-2 0</inkml:trace>
  <inkml:trace contextRef="#ctx0" brushRef="#br0" timeOffset="3284">2526 230 24575,'-19'0'0,"-14"5"0,-16 2 0,-1 7 0,-7-2 0,24 0 0,2-5 0,8-1 0,10-2 0,2 2 0,16 6 0,3-2 0,15 11 0,2-5 0,4 2 0,-5-4 0,-10-5 0,-3-1 0,-6-6 0,1 3 0,-1-2 0,2 6 0,-4 2 0,1 7 0,-13 0 0,-1 0 0,-7-1 0,1-1 0,5-4 0,-1 1 0,3-5 0,1 1 0,2-4 0,9-2 0,6 0 0,8 1 0,4-4 0,1 3 0,-5-3 0,-5 0 0,-2 0 0,-1 0 0,13 2 0,-1 2 0,2 1 0,-6 0 0,-11-2 0,-4-3 0</inkml:trace>
  <inkml:trace contextRef="#ctx0" brushRef="#br0" timeOffset="4383">2593 378 24575,'11'-5'0,"7"0"0,10-2 0,-5 4 0,-5 1 0,-5 6 0,-4 10 0,7 6 0,-8 6 0,-1-3 0,-6 2 0,-7-4 0,-6 5 0,-9-5 0,7-7 0,2-7 0,11-9 0,6-7 0,11-5 0,29-20 0,1 4 0,20-11 0,-26 12 0,-4 5 0,-20 6 0,-7 5 0,-8 4 0,-1 5 0,-4 1 0,-7 3 0,-2 6 0,-8 9 0,5 9 0,0 2 0,9 8 0,3-18 0,10 6 0,4-9 0,3-2 0,14 6 0,22 0 0,26 8 0,-25-14 0,-2 0 0,19 8 0,-17-11 0,-45-6 0</inkml:trace>
  <inkml:trace contextRef="#ctx0" brushRef="#br0" timeOffset="4871">3243 484 24575,'3'16'0,"0"1"0,5 8 0,0-2 0,2 1 0,-3-6 0,-2-4 0,-3-8 0,-1-3 0</inkml:trace>
  <inkml:trace contextRef="#ctx0" brushRef="#br0" timeOffset="5208">3233 405 24575,'0'0'0</inkml:trace>
  <inkml:trace contextRef="#ctx0" brushRef="#br0" timeOffset="5648">3450 410 24575,'6'2'0,"5"-1"0,25-1 0,42 6 0,-8-2 0,4-1 0,-3 2 0,-2 0 0,-5-1 0,-6-1 0,-1-1 0,-45-2 0</inkml:trace>
  <inkml:trace contextRef="#ctx0" brushRef="#br0" timeOffset="6808">4182 349 24575,'3'-7'0,"5"-3"0,-1-1 0,5 0 0,3 6 0,3 2 0,12 3 0,-4 0 0,-2 2 0,-9 1 0,-7 7 0,-3 10 0,-1 8 0,-5 3 0,-6 0 0,-9-2 0,0-2 0,1-4 0,8-14 0,10-21 0,14-23 0,19-23 0,7-9 0,-7 20 0,-13 12 0,-16 28 0,-2 10 0,-2 11 0,0 11 0,-3 7 0,5 6 0,-4-13 0,5-4 0,-3-12 0,1-5 0,2 0 0,4-1 0,2-1 0,-2-1 0,-1-1 0,-7 0 0</inkml:trace>
  <inkml:trace contextRef="#ctx0" brushRef="#br0" timeOffset="7817">4123 153 24575,'44'7'0,"47"12"0,-36-12 0,3 0 0,4 3 0,-2-2 0,15-5 0,-37-3 0,-25 0 0,-7 0 0,-3 0 0,0 0 0</inkml:trace>
  <inkml:trace contextRef="#ctx0" brushRef="#br0" timeOffset="8384">5005 150 24575,'2'-2'0,"3"2"0,-1 8 0,6 8 0,17 34 0,-5 0 0,2 37 0,-36-9 0,-5-23 0,-9-1 0,-13-6 0,-8-2 0,-16 9 0,1-5 0,-13-2 0,2-12 0</inkml:trace>
  <inkml:trace contextRef="#ctx0" brushRef="#br0" timeOffset="9834">2669 276 24575,'-6'0'0,"-2"0"0,-2 4 0,-7 9 0,-1 5 0,-2 9 0,10 12 0,3 12 0,24 35 0,6-11 0,0-25 0,4-1 0,25 23 0,-9-27 0,7-2 0,5-1 0,7-3 0,3-8 0,6-2 0,-7-3 0,-9-1 0,-2-4 0,8-4 0,-1 0 0</inkml:trace>
  <inkml:trace contextRef="#ctx0" brushRef="#br0" timeOffset="11384">5074 44 24575,'2'-7'0,"1"-2"0,5-1 0,2 1 0,11 3 0,6 3 0,12 7 0,-4 3 0,0 3 0,-18 6 0,-2 6 0,-11 5 0,-2 4 0,-10 0 0,-6-7 0,-8 0 0,-13-11 0,7-2 0,5-7 0,30-4 0,35-3 0,38 1 0,-21 0 0,3 2 0,0 1 0,0 2 0,-6 1 0,-5 0 0,8 2 0,-36 1 0</inkml:trace>
  <inkml:trace contextRef="#ctx0" brushRef="#br0" timeOffset="12426">2545 1150 24575,'37'3'0,"13"-2"0,9-1 0,21 2 0,10-1 0,-8-1 0,7 0 0,3 0-923,-11 2 1,3-1-1,2 2 1,-2-2 922,-2 0 0,0-1 0,0 0 0,1 1 0,6 0 0,2 1 0,-1 0 0,-3 0 101,10-2 1,-4-1-1,-1 2-101,-3 2 0,-1 1 0,-4 1 0,-13-2 0,-3 1 0,-2 1 395,25 2 0,-5 0-395,-19-2 0,-4-1 0,-3-4 0,-2 0 0,36 0 1868,-6 0-1868,-31 0 182,-24 0 0,-22 0 0,-9 0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23:03.78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41 93 24575,'5'30'0,"-3"4"0,4 16 0,-1-6 0,-1-6 0,0-14 0,-4-15 0,0 1 0,0-1 0,0 0 0,-3-5 0,2-4 0,-5-12 0,-6-33 0,-2-11 0,-3-31 0,9 21 0,3 16 0,6 27 0,1 12 0,0 8 0,13 5 0,14 18 0,26 13 0,-10-1 0,3 3 0,2 0 0,2 0 0,7 4 0,-1 0 0,-9-6 0,-4-2 0,15 10 0,-25-17 0,-24-16 0,-6-15 0,3-14 0,-1-21 0,4-21 0,1-11 0,3 9 0,-4 19 0,-2 26 0,-8 16 0</inkml:trace>
  <inkml:trace contextRef="#ctx0" brushRef="#br0" timeOffset="449">1123 266 24575,'22'0'0,"14"-6"0,35-7 0,10 5 0,-7-4 0,-29 12 0,-27 0 0</inkml:trace>
  <inkml:trace contextRef="#ctx0" brushRef="#br0" timeOffset="1849">1751 59 24575,'-5'2'0,"-4"9"0,-2 4 0,1 3 0,2-4 0,3-7 0,2-4 0,2-11 0,1-5 0,5-9 0,3 1 0,2 2 0,-3 8 0,-1 5 0,-4 6 0,5 16 0,2 14 0,4 11 0,-1 11 0,3 0 0,-3-2 0,1-1 0,-5-15 0,-2-13 0,-21-6 0,-11-10 0,-15 1 0,8-3 0,11-3 0,13-1 0,8 0 0,12-2 0,14-2 0,24 1 0,4 0 0,-1 4 0,-23 0 0,-16 0 0,-10 0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9T17:23:09.46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402 661 24575,'-4'-8'0,"-4"-12"0,-5-28 0,-25-32 0,17 31 0,-1-2 0,-3-7 0,-1 0 0,2 6 0,2 2 0,-1-23 0,3 26 0,15 33 0,-7 10 0,1 7 0,-17 10 0,-5 4 0,2 5 0,8-8 0,12-7 0,9-14 0,13-13 0,-1-2 0,10-17 0,-11 22 0,-1-2 0,-2 19 0,7 12 0,2 5 0,6 10 0,-3 1 0,-1-2 0,-2-5 0,2-5 0,-10-9 0,2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2BEB3-66D2-6A4E-BF3C-002C945C6C21}">
  <dimension ref="G5:I13"/>
  <sheetViews>
    <sheetView topLeftCell="F3" zoomScale="282" zoomScaleNormal="282" workbookViewId="0">
      <selection activeCell="F9" sqref="F9:I10"/>
    </sheetView>
  </sheetViews>
  <sheetFormatPr baseColWidth="10" defaultRowHeight="16" x14ac:dyDescent="0.2"/>
  <sheetData>
    <row r="5" spans="7:9" x14ac:dyDescent="0.2">
      <c r="G5" t="s">
        <v>0</v>
      </c>
    </row>
    <row r="7" spans="7:9" x14ac:dyDescent="0.2">
      <c r="G7" s="1" t="s">
        <v>1</v>
      </c>
      <c r="H7" s="1"/>
    </row>
    <row r="8" spans="7:9" x14ac:dyDescent="0.2">
      <c r="G8" s="1"/>
    </row>
    <row r="9" spans="7:9" x14ac:dyDescent="0.2">
      <c r="G9" s="1" t="s">
        <v>2</v>
      </c>
      <c r="I9" s="1" t="s">
        <v>3</v>
      </c>
    </row>
    <row r="12" spans="7:9" x14ac:dyDescent="0.2">
      <c r="G12" t="s">
        <v>4</v>
      </c>
      <c r="H12">
        <f>1</f>
        <v>1</v>
      </c>
      <c r="I12" t="b">
        <v>1</v>
      </c>
    </row>
    <row r="13" spans="7:9" x14ac:dyDescent="0.2">
      <c r="G13" t="s">
        <v>5</v>
      </c>
      <c r="H13">
        <v>0</v>
      </c>
      <c r="I13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241E6-5951-D34B-98B1-E0DFDE11EFE3}">
  <dimension ref="A9:L132"/>
  <sheetViews>
    <sheetView topLeftCell="A123" zoomScale="271" zoomScaleNormal="271" workbookViewId="0">
      <selection activeCell="A132" sqref="A132:H132"/>
    </sheetView>
  </sheetViews>
  <sheetFormatPr baseColWidth="10" defaultRowHeight="16" x14ac:dyDescent="0.2"/>
  <sheetData>
    <row r="9" spans="2:11" x14ac:dyDescent="0.2">
      <c r="B9" t="s">
        <v>4</v>
      </c>
    </row>
    <row r="10" spans="2:11" x14ac:dyDescent="0.2">
      <c r="G10" t="s">
        <v>6</v>
      </c>
      <c r="I10" t="s">
        <v>9</v>
      </c>
      <c r="J10" t="s">
        <v>10</v>
      </c>
    </row>
    <row r="11" spans="2:11" x14ac:dyDescent="0.2">
      <c r="G11" t="s">
        <v>7</v>
      </c>
      <c r="H11" t="str">
        <f>IF(G11="M","MALE","FEMALE")</f>
        <v>MALE</v>
      </c>
      <c r="I11">
        <v>20</v>
      </c>
      <c r="J11" t="str">
        <f>IF(I11&gt;=18,"YES","NO")</f>
        <v>YES</v>
      </c>
      <c r="K11" t="str">
        <f ca="1">_xlfn.FORMULATEXT(J11)</f>
        <v>=IF(I11&gt;=18,"YES","NO")</v>
      </c>
    </row>
    <row r="12" spans="2:11" x14ac:dyDescent="0.2">
      <c r="G12" t="s">
        <v>8</v>
      </c>
      <c r="H12" t="str">
        <f t="shared" ref="H12:H16" si="0">IF(G12="M","MALE","FEMALE")</f>
        <v>FEMALE</v>
      </c>
      <c r="I12">
        <v>21</v>
      </c>
      <c r="J12" t="str">
        <f t="shared" ref="J12:J16" si="1">IF(I12&gt;=18,"YES","NO")</f>
        <v>YES</v>
      </c>
      <c r="K12" t="str">
        <f t="shared" ref="K12:K16" ca="1" si="2">_xlfn.FORMULATEXT(J12)</f>
        <v>=IF(I12&gt;=18,"YES","NO")</v>
      </c>
    </row>
    <row r="13" spans="2:11" x14ac:dyDescent="0.2">
      <c r="G13" t="s">
        <v>7</v>
      </c>
      <c r="H13" t="str">
        <f t="shared" si="0"/>
        <v>MALE</v>
      </c>
      <c r="I13">
        <v>16</v>
      </c>
      <c r="J13" t="str">
        <f>IF(I13&gt;=18,"YES","NO")</f>
        <v>NO</v>
      </c>
      <c r="K13" t="str">
        <f t="shared" ca="1" si="2"/>
        <v>=IF(I13&gt;=18,"YES","NO")</v>
      </c>
    </row>
    <row r="14" spans="2:11" x14ac:dyDescent="0.2">
      <c r="G14" t="s">
        <v>8</v>
      </c>
      <c r="H14" t="str">
        <f t="shared" si="0"/>
        <v>FEMALE</v>
      </c>
      <c r="I14">
        <v>23</v>
      </c>
      <c r="J14" t="str">
        <f>IF(I14&gt;=18,"YES","NO")</f>
        <v>YES</v>
      </c>
      <c r="K14" t="str">
        <f t="shared" ca="1" si="2"/>
        <v>=IF(I14&gt;=18,"YES","NO")</v>
      </c>
    </row>
    <row r="15" spans="2:11" x14ac:dyDescent="0.2">
      <c r="G15" t="s">
        <v>7</v>
      </c>
      <c r="H15" t="str">
        <f t="shared" si="0"/>
        <v>MALE</v>
      </c>
      <c r="I15">
        <v>33</v>
      </c>
      <c r="J15" t="str">
        <f t="shared" si="1"/>
        <v>YES</v>
      </c>
      <c r="K15" t="str">
        <f t="shared" ca="1" si="2"/>
        <v>=IF(I15&gt;=18,"YES","NO")</v>
      </c>
    </row>
    <row r="16" spans="2:11" x14ac:dyDescent="0.2">
      <c r="G16" t="s">
        <v>7</v>
      </c>
      <c r="H16" t="str">
        <f t="shared" si="0"/>
        <v>MALE</v>
      </c>
      <c r="I16">
        <v>32</v>
      </c>
      <c r="J16" t="str">
        <f>IF(I16&gt;=18,"YES","NO")</f>
        <v>YES</v>
      </c>
      <c r="K16" t="str">
        <f t="shared" ca="1" si="2"/>
        <v>=IF(I16&gt;=18,"YES","NO")</v>
      </c>
    </row>
    <row r="19" spans="1:12" x14ac:dyDescent="0.2">
      <c r="C19" t="s">
        <v>11</v>
      </c>
    </row>
    <row r="22" spans="1:12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4" spans="1:12" x14ac:dyDescent="0.2">
      <c r="B24" t="s">
        <v>12</v>
      </c>
    </row>
    <row r="26" spans="1:12" x14ac:dyDescent="0.2">
      <c r="C26" t="s">
        <v>13</v>
      </c>
    </row>
    <row r="28" spans="1:12" x14ac:dyDescent="0.2">
      <c r="B28">
        <v>81</v>
      </c>
      <c r="C28" t="str">
        <f>IF(B28&gt;=90, "A", IF(B28&gt;=80, "B", IF(B28&gt;=70, "C", IF(B28&gt;=60, "D", "F"))))</f>
        <v>B</v>
      </c>
      <c r="D28" t="str">
        <f ca="1">_xlfn.FORMULATEXT(C28)</f>
        <v>=IF(B28&gt;=90, "A", IF(B28&gt;=80, "B", IF(B28&gt;=70, "C", IF(B28&gt;=60, "D", "F"))))</v>
      </c>
    </row>
    <row r="31" spans="1:12" x14ac:dyDescent="0.2">
      <c r="B31" t="s">
        <v>17</v>
      </c>
      <c r="C31" s="2">
        <v>0.35</v>
      </c>
      <c r="E31" t="s">
        <v>15</v>
      </c>
      <c r="F31" t="s">
        <v>16</v>
      </c>
    </row>
    <row r="32" spans="1:12" x14ac:dyDescent="0.2">
      <c r="B32">
        <v>1200000</v>
      </c>
      <c r="C32" s="2">
        <v>0.3</v>
      </c>
      <c r="E32">
        <v>200000</v>
      </c>
      <c r="F32" s="3">
        <f>IF(E32&gt;B32,35%,IF(E32&gt;B33,20%,IF(E32&gt;B34,10%,0%)))</f>
        <v>0</v>
      </c>
      <c r="G32" t="str">
        <f ca="1">_xlfn.FORMULATEXT(F32)</f>
        <v>=IF(E32&gt;B32,35%,IF(E32&gt;B33,20%,IF(E32&gt;B34,10%,0%)))</v>
      </c>
    </row>
    <row r="33" spans="1:11" x14ac:dyDescent="0.2">
      <c r="B33">
        <v>800000</v>
      </c>
      <c r="C33" s="2">
        <v>0.2</v>
      </c>
    </row>
    <row r="34" spans="1:11" x14ac:dyDescent="0.2">
      <c r="B34">
        <v>400000</v>
      </c>
      <c r="C34" s="2">
        <v>0.1</v>
      </c>
    </row>
    <row r="35" spans="1:11" x14ac:dyDescent="0.2">
      <c r="B35" t="s">
        <v>14</v>
      </c>
      <c r="C35" s="2">
        <v>0</v>
      </c>
    </row>
    <row r="38" spans="1:1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40" spans="1:11" x14ac:dyDescent="0.2">
      <c r="B40" t="s">
        <v>18</v>
      </c>
    </row>
    <row r="42" spans="1:11" x14ac:dyDescent="0.2">
      <c r="C42" t="s">
        <v>19</v>
      </c>
      <c r="D42">
        <v>4</v>
      </c>
      <c r="F42" t="s">
        <v>21</v>
      </c>
      <c r="G42">
        <f>IFERROR(D42/D43,"Div by 0 not allowed")</f>
        <v>1.3333333333333333</v>
      </c>
    </row>
    <row r="43" spans="1:11" x14ac:dyDescent="0.2">
      <c r="C43" t="s">
        <v>20</v>
      </c>
      <c r="D43">
        <v>3</v>
      </c>
    </row>
    <row r="45" spans="1:1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7" spans="1:11" x14ac:dyDescent="0.2">
      <c r="B47" t="s">
        <v>22</v>
      </c>
    </row>
    <row r="50" spans="1:11" x14ac:dyDescent="0.2">
      <c r="C50" t="s">
        <v>23</v>
      </c>
    </row>
    <row r="51" spans="1:11" x14ac:dyDescent="0.2">
      <c r="C51">
        <v>1</v>
      </c>
      <c r="D51" t="s">
        <v>24</v>
      </c>
      <c r="E51">
        <v>12</v>
      </c>
      <c r="F51" t="str" cm="1">
        <f t="array" ref="F51">_xlfn.SWITCH(E51,1,D51,C52,D52,C53,D53,C54,D54)</f>
        <v>twelth</v>
      </c>
    </row>
    <row r="52" spans="1:11" x14ac:dyDescent="0.2">
      <c r="C52">
        <v>2</v>
      </c>
      <c r="D52" t="s">
        <v>25</v>
      </c>
    </row>
    <row r="53" spans="1:11" x14ac:dyDescent="0.2">
      <c r="C53">
        <v>3</v>
      </c>
      <c r="D53" t="s">
        <v>26</v>
      </c>
    </row>
    <row r="54" spans="1:11" x14ac:dyDescent="0.2">
      <c r="C54">
        <v>12</v>
      </c>
      <c r="D54" t="s">
        <v>27</v>
      </c>
    </row>
    <row r="57" spans="1:11" x14ac:dyDescent="0.2">
      <c r="C57">
        <v>2</v>
      </c>
      <c r="E57" t="str">
        <f>IF(C57=1, "Yes", IF(C57=2, "Maybe", "No"))</f>
        <v>Maybe</v>
      </c>
      <c r="F57" t="str">
        <f ca="1">_xlfn.FORMULATEXT(E57)</f>
        <v>=IF(C57=1, "Yes", IF(C57=2, "Maybe", "No"))</v>
      </c>
    </row>
    <row r="58" spans="1:11" x14ac:dyDescent="0.2">
      <c r="E58" t="str" cm="1">
        <f t="array" ref="E58">_xlfn.SWITCH(C57,1,"Yes",2,"Maybe","No")</f>
        <v>Maybe</v>
      </c>
      <c r="F58" t="str">
        <f ca="1">_xlfn.FORMULATEXT(E58)</f>
        <v>=SWITCH(C57,1,"Yes",2,"Maybe","No")</v>
      </c>
    </row>
    <row r="61" spans="1:1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3" spans="1:11" x14ac:dyDescent="0.2">
      <c r="C63" t="s">
        <v>31</v>
      </c>
    </row>
    <row r="65" spans="2:8" x14ac:dyDescent="0.2">
      <c r="B65" t="s">
        <v>28</v>
      </c>
      <c r="D65" t="s">
        <v>38</v>
      </c>
    </row>
    <row r="67" spans="2:8" x14ac:dyDescent="0.2">
      <c r="B67" t="s">
        <v>29</v>
      </c>
      <c r="D67" t="s">
        <v>35</v>
      </c>
    </row>
    <row r="69" spans="2:8" x14ac:dyDescent="0.2">
      <c r="B69" t="s">
        <v>30</v>
      </c>
      <c r="D69" t="s">
        <v>34</v>
      </c>
      <c r="H69" t="s">
        <v>40</v>
      </c>
    </row>
    <row r="71" spans="2:8" x14ac:dyDescent="0.2">
      <c r="C71" s="5" t="s">
        <v>32</v>
      </c>
      <c r="D71" s="5" t="s">
        <v>33</v>
      </c>
      <c r="E71" s="5" t="s">
        <v>36</v>
      </c>
      <c r="F71" s="5" t="s">
        <v>37</v>
      </c>
      <c r="G71" s="6" t="s">
        <v>28</v>
      </c>
      <c r="H71" s="6" t="s">
        <v>39</v>
      </c>
    </row>
    <row r="72" spans="2:8" x14ac:dyDescent="0.2">
      <c r="B72">
        <v>1</v>
      </c>
      <c r="C72" s="7" t="b">
        <v>1</v>
      </c>
      <c r="D72" s="7" t="b">
        <v>1</v>
      </c>
      <c r="E72" s="7" t="b">
        <v>1</v>
      </c>
      <c r="F72" s="7" t="b">
        <v>1</v>
      </c>
      <c r="G72" s="7" t="b">
        <f>AND(C72:F72)</f>
        <v>1</v>
      </c>
      <c r="H72" s="4" t="b">
        <f>OR(C72:F72)</f>
        <v>1</v>
      </c>
    </row>
    <row r="73" spans="2:8" x14ac:dyDescent="0.2">
      <c r="B73">
        <v>2</v>
      </c>
      <c r="C73" s="4" t="b">
        <v>1</v>
      </c>
      <c r="D73" s="4" t="b">
        <v>1</v>
      </c>
      <c r="E73" s="4" t="b">
        <v>1</v>
      </c>
      <c r="F73" s="4" t="b">
        <v>0</v>
      </c>
      <c r="G73" s="4" t="b">
        <f t="shared" ref="G73:G87" si="3">AND(C73:F73)</f>
        <v>0</v>
      </c>
      <c r="H73" s="4" t="b">
        <f t="shared" ref="H73:H87" si="4">OR(C73:F73)</f>
        <v>1</v>
      </c>
    </row>
    <row r="74" spans="2:8" x14ac:dyDescent="0.2">
      <c r="B74">
        <v>3</v>
      </c>
      <c r="C74" s="4" t="b">
        <v>1</v>
      </c>
      <c r="D74" s="4" t="b">
        <v>1</v>
      </c>
      <c r="E74" s="4" t="b">
        <v>0</v>
      </c>
      <c r="F74" s="4" t="b">
        <v>1</v>
      </c>
      <c r="G74" s="4" t="b">
        <f t="shared" si="3"/>
        <v>0</v>
      </c>
      <c r="H74" s="4" t="b">
        <f t="shared" si="4"/>
        <v>1</v>
      </c>
    </row>
    <row r="75" spans="2:8" x14ac:dyDescent="0.2">
      <c r="B75">
        <v>4</v>
      </c>
      <c r="C75" s="4" t="b">
        <v>1</v>
      </c>
      <c r="D75" s="4" t="b">
        <v>1</v>
      </c>
      <c r="E75" s="4" t="b">
        <v>0</v>
      </c>
      <c r="F75" s="4" t="b">
        <v>0</v>
      </c>
      <c r="G75" s="4" t="b">
        <f t="shared" si="3"/>
        <v>0</v>
      </c>
      <c r="H75" s="4" t="b">
        <f t="shared" si="4"/>
        <v>1</v>
      </c>
    </row>
    <row r="76" spans="2:8" x14ac:dyDescent="0.2">
      <c r="B76">
        <v>5</v>
      </c>
      <c r="C76" s="4" t="b">
        <v>1</v>
      </c>
      <c r="D76" s="4" t="b">
        <v>0</v>
      </c>
      <c r="E76" s="4" t="b">
        <v>1</v>
      </c>
      <c r="F76" s="4" t="b">
        <v>1</v>
      </c>
      <c r="G76" s="4" t="b">
        <f t="shared" si="3"/>
        <v>0</v>
      </c>
      <c r="H76" s="4" t="b">
        <f t="shared" si="4"/>
        <v>1</v>
      </c>
    </row>
    <row r="77" spans="2:8" x14ac:dyDescent="0.2">
      <c r="B77">
        <v>6</v>
      </c>
      <c r="C77" s="4" t="b">
        <v>1</v>
      </c>
      <c r="D77" s="4" t="b">
        <v>0</v>
      </c>
      <c r="E77" s="4" t="b">
        <v>1</v>
      </c>
      <c r="F77" s="4" t="b">
        <v>0</v>
      </c>
      <c r="G77" s="4" t="b">
        <f t="shared" si="3"/>
        <v>0</v>
      </c>
      <c r="H77" s="4" t="b">
        <f t="shared" si="4"/>
        <v>1</v>
      </c>
    </row>
    <row r="78" spans="2:8" x14ac:dyDescent="0.2">
      <c r="B78">
        <v>7</v>
      </c>
      <c r="C78" s="4" t="b">
        <v>1</v>
      </c>
      <c r="D78" s="4" t="b">
        <v>0</v>
      </c>
      <c r="E78" s="4" t="b">
        <v>0</v>
      </c>
      <c r="F78" s="4" t="b">
        <v>1</v>
      </c>
      <c r="G78" s="4" t="b">
        <f t="shared" si="3"/>
        <v>0</v>
      </c>
      <c r="H78" s="4" t="b">
        <f t="shared" si="4"/>
        <v>1</v>
      </c>
    </row>
    <row r="79" spans="2:8" x14ac:dyDescent="0.2">
      <c r="B79">
        <v>8</v>
      </c>
      <c r="C79" s="4" t="b">
        <v>1</v>
      </c>
      <c r="D79" s="4" t="b">
        <v>0</v>
      </c>
      <c r="E79" s="4" t="b">
        <v>0</v>
      </c>
      <c r="F79" s="4" t="b">
        <v>0</v>
      </c>
      <c r="G79" s="4" t="b">
        <f t="shared" si="3"/>
        <v>0</v>
      </c>
      <c r="H79" s="4" t="b">
        <f t="shared" si="4"/>
        <v>1</v>
      </c>
    </row>
    <row r="80" spans="2:8" x14ac:dyDescent="0.2">
      <c r="B80">
        <v>9</v>
      </c>
      <c r="C80" s="4" t="b">
        <v>0</v>
      </c>
      <c r="D80" s="4" t="b">
        <v>1</v>
      </c>
      <c r="E80" s="4" t="b">
        <v>1</v>
      </c>
      <c r="F80" s="4" t="b">
        <v>1</v>
      </c>
      <c r="G80" s="4" t="b">
        <f t="shared" si="3"/>
        <v>0</v>
      </c>
      <c r="H80" s="4" t="b">
        <f t="shared" si="4"/>
        <v>1</v>
      </c>
    </row>
    <row r="81" spans="2:8" x14ac:dyDescent="0.2">
      <c r="B81">
        <v>10</v>
      </c>
      <c r="C81" s="4" t="b">
        <v>0</v>
      </c>
      <c r="D81" s="4" t="b">
        <v>1</v>
      </c>
      <c r="E81" s="4" t="b">
        <v>1</v>
      </c>
      <c r="F81" s="4" t="b">
        <v>0</v>
      </c>
      <c r="G81" s="4" t="b">
        <f t="shared" si="3"/>
        <v>0</v>
      </c>
      <c r="H81" s="4" t="b">
        <f t="shared" si="4"/>
        <v>1</v>
      </c>
    </row>
    <row r="82" spans="2:8" x14ac:dyDescent="0.2">
      <c r="B82">
        <v>11</v>
      </c>
      <c r="C82" s="4" t="b">
        <v>0</v>
      </c>
      <c r="D82" s="4" t="b">
        <v>1</v>
      </c>
      <c r="E82" s="4" t="b">
        <v>0</v>
      </c>
      <c r="F82" s="4" t="b">
        <v>1</v>
      </c>
      <c r="G82" s="4" t="b">
        <f t="shared" si="3"/>
        <v>0</v>
      </c>
      <c r="H82" s="4" t="b">
        <f t="shared" si="4"/>
        <v>1</v>
      </c>
    </row>
    <row r="83" spans="2:8" x14ac:dyDescent="0.2">
      <c r="B83">
        <v>12</v>
      </c>
      <c r="C83" s="4" t="b">
        <v>0</v>
      </c>
      <c r="D83" s="4" t="b">
        <v>1</v>
      </c>
      <c r="E83" s="4" t="b">
        <v>0</v>
      </c>
      <c r="F83" s="4" t="b">
        <v>0</v>
      </c>
      <c r="G83" s="4" t="b">
        <f t="shared" si="3"/>
        <v>0</v>
      </c>
      <c r="H83" s="4" t="b">
        <f t="shared" si="4"/>
        <v>1</v>
      </c>
    </row>
    <row r="84" spans="2:8" x14ac:dyDescent="0.2">
      <c r="B84">
        <v>13</v>
      </c>
      <c r="C84" s="4" t="b">
        <v>0</v>
      </c>
      <c r="D84" s="4" t="b">
        <v>0</v>
      </c>
      <c r="E84" s="4" t="b">
        <v>1</v>
      </c>
      <c r="F84" s="4" t="b">
        <v>1</v>
      </c>
      <c r="G84" s="4" t="b">
        <f t="shared" si="3"/>
        <v>0</v>
      </c>
      <c r="H84" s="4" t="b">
        <f t="shared" si="4"/>
        <v>1</v>
      </c>
    </row>
    <row r="85" spans="2:8" x14ac:dyDescent="0.2">
      <c r="B85">
        <v>14</v>
      </c>
      <c r="C85" s="4" t="b">
        <v>0</v>
      </c>
      <c r="D85" s="4" t="b">
        <v>0</v>
      </c>
      <c r="E85" s="4" t="b">
        <v>1</v>
      </c>
      <c r="F85" s="4" t="b">
        <v>0</v>
      </c>
      <c r="G85" s="4" t="b">
        <f t="shared" si="3"/>
        <v>0</v>
      </c>
      <c r="H85" s="4" t="b">
        <f t="shared" si="4"/>
        <v>1</v>
      </c>
    </row>
    <row r="86" spans="2:8" x14ac:dyDescent="0.2">
      <c r="B86">
        <v>15</v>
      </c>
      <c r="C86" s="4" t="b">
        <v>0</v>
      </c>
      <c r="D86" s="4" t="b">
        <v>0</v>
      </c>
      <c r="E86" s="4" t="b">
        <v>0</v>
      </c>
      <c r="F86" s="4" t="b">
        <v>1</v>
      </c>
      <c r="G86" s="4" t="b">
        <f t="shared" si="3"/>
        <v>0</v>
      </c>
      <c r="H86" s="4" t="b">
        <f t="shared" si="4"/>
        <v>1</v>
      </c>
    </row>
    <row r="87" spans="2:8" x14ac:dyDescent="0.2">
      <c r="B87">
        <v>16</v>
      </c>
      <c r="C87" s="8" t="b">
        <v>0</v>
      </c>
      <c r="D87" s="8" t="b">
        <v>0</v>
      </c>
      <c r="E87" s="8" t="b">
        <v>0</v>
      </c>
      <c r="F87" s="8" t="b">
        <v>0</v>
      </c>
      <c r="G87" s="9" t="b">
        <f t="shared" si="3"/>
        <v>0</v>
      </c>
      <c r="H87" s="8" t="b">
        <f t="shared" si="4"/>
        <v>0</v>
      </c>
    </row>
    <row r="92" spans="2:8" x14ac:dyDescent="0.2">
      <c r="D92" t="s">
        <v>41</v>
      </c>
      <c r="E92" t="s">
        <v>42</v>
      </c>
    </row>
    <row r="94" spans="2:8" x14ac:dyDescent="0.2">
      <c r="D94" t="b">
        <v>1</v>
      </c>
      <c r="E94" t="b">
        <f>NOT(D94)</f>
        <v>0</v>
      </c>
    </row>
    <row r="95" spans="2:8" x14ac:dyDescent="0.2">
      <c r="D95" t="b">
        <v>0</v>
      </c>
      <c r="E95" t="b">
        <f>NOT(D95)</f>
        <v>1</v>
      </c>
    </row>
    <row r="99" spans="1:10" x14ac:dyDescent="0.2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9" spans="1:10" x14ac:dyDescent="0.2">
      <c r="G109">
        <f>20+20+G103</f>
        <v>40</v>
      </c>
      <c r="H109" t="b">
        <f>_xlfn.ISFORMULA(G109)</f>
        <v>1</v>
      </c>
    </row>
    <row r="110" spans="1:10" x14ac:dyDescent="0.2">
      <c r="B110" t="s">
        <v>43</v>
      </c>
      <c r="C110" t="s">
        <v>45</v>
      </c>
      <c r="D110" t="s">
        <v>44</v>
      </c>
      <c r="G110">
        <v>40</v>
      </c>
      <c r="H110" t="b">
        <f>_xlfn.ISFORMULA(G110)</f>
        <v>0</v>
      </c>
    </row>
    <row r="111" spans="1:10" x14ac:dyDescent="0.2">
      <c r="B111">
        <v>13</v>
      </c>
      <c r="C111" t="b">
        <f>ISEVEN(B111)</f>
        <v>0</v>
      </c>
      <c r="D111" t="b">
        <f>ISODD(B111)</f>
        <v>1</v>
      </c>
    </row>
    <row r="114" spans="3:6" x14ac:dyDescent="0.2">
      <c r="C114" t="b">
        <v>1</v>
      </c>
      <c r="E114" t="b">
        <f>ISLOGICAL(C114)</f>
        <v>1</v>
      </c>
    </row>
    <row r="117" spans="3:6" x14ac:dyDescent="0.2">
      <c r="C117" t="s">
        <v>46</v>
      </c>
      <c r="E117" t="s">
        <v>49</v>
      </c>
    </row>
    <row r="119" spans="3:6" x14ac:dyDescent="0.2">
      <c r="C119" t="s">
        <v>47</v>
      </c>
      <c r="E119" t="s">
        <v>48</v>
      </c>
    </row>
    <row r="124" spans="3:6" x14ac:dyDescent="0.2">
      <c r="C124" t="s">
        <v>50</v>
      </c>
      <c r="E124" t="b">
        <f>ISTEXT(C124)</f>
        <v>1</v>
      </c>
    </row>
    <row r="125" spans="3:6" x14ac:dyDescent="0.2">
      <c r="E125" t="b">
        <f>ISNONTEXT(C124)</f>
        <v>0</v>
      </c>
    </row>
    <row r="127" spans="3:6" x14ac:dyDescent="0.2">
      <c r="E127" t="s">
        <v>51</v>
      </c>
      <c r="F127" t="s">
        <v>52</v>
      </c>
    </row>
    <row r="128" spans="3:6" x14ac:dyDescent="0.2">
      <c r="C128" s="11" t="str">
        <f>"3"</f>
        <v>3</v>
      </c>
      <c r="E128" t="b">
        <f>ISNUMBER(C128)</f>
        <v>0</v>
      </c>
      <c r="F128" t="b">
        <f>ISTEXT(C128)</f>
        <v>1</v>
      </c>
    </row>
    <row r="132" spans="1:8" x14ac:dyDescent="0.2">
      <c r="A132" s="10"/>
      <c r="B132" s="10"/>
      <c r="C132" s="10"/>
      <c r="D132" s="10"/>
      <c r="E132" s="10"/>
      <c r="F132" s="10"/>
      <c r="G132" s="10"/>
      <c r="H132" s="10"/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FCCAE-BBE2-914E-9283-9230C4B6DA69}">
  <dimension ref="C6:J21"/>
  <sheetViews>
    <sheetView tabSelected="1" topLeftCell="C14" zoomScale="197" zoomScaleNormal="197" workbookViewId="0">
      <selection activeCell="J24" sqref="J24"/>
    </sheetView>
  </sheetViews>
  <sheetFormatPr baseColWidth="10" defaultRowHeight="16" x14ac:dyDescent="0.2"/>
  <sheetData>
    <row r="6" spans="3:5" x14ac:dyDescent="0.2">
      <c r="C6" t="s">
        <v>53</v>
      </c>
    </row>
    <row r="8" spans="3:5" x14ac:dyDescent="0.2">
      <c r="C8" t="s">
        <v>55</v>
      </c>
    </row>
    <row r="10" spans="3:5" x14ac:dyDescent="0.2">
      <c r="C10" t="s">
        <v>54</v>
      </c>
    </row>
    <row r="12" spans="3:5" x14ac:dyDescent="0.2">
      <c r="C12" t="s">
        <v>56</v>
      </c>
    </row>
    <row r="13" spans="3:5" x14ac:dyDescent="0.2">
      <c r="C13" t="s">
        <v>57</v>
      </c>
    </row>
    <row r="16" spans="3:5" x14ac:dyDescent="0.2">
      <c r="E16">
        <v>50</v>
      </c>
    </row>
    <row r="17" spans="5:10" x14ac:dyDescent="0.2">
      <c r="E17">
        <v>89</v>
      </c>
    </row>
    <row r="18" spans="5:10" x14ac:dyDescent="0.2">
      <c r="E18">
        <v>92</v>
      </c>
    </row>
    <row r="19" spans="5:10" x14ac:dyDescent="0.2">
      <c r="E19">
        <v>34</v>
      </c>
      <c r="G19" t="s">
        <v>58</v>
      </c>
      <c r="H19">
        <f>_xlfn.VAR.P(E16:E19)</f>
        <v>621.1875</v>
      </c>
      <c r="J19">
        <f>H19*4</f>
        <v>2484.75</v>
      </c>
    </row>
    <row r="21" spans="5:10" x14ac:dyDescent="0.2">
      <c r="G21" t="s">
        <v>59</v>
      </c>
      <c r="H21">
        <f>_xlfn.VAR.S(E16:E19)</f>
        <v>828.25</v>
      </c>
      <c r="J21">
        <f>J19/(4-1)</f>
        <v>828.25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2026-05-19T15:35:43Z</dcterms:created>
  <dcterms:modified xsi:type="dcterms:W3CDTF">2026-05-19T17:25:54Z</dcterms:modified>
</cp:coreProperties>
</file>