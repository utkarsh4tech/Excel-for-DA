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E8DBFF6-972B-5046-8E03-BFF9F42D14E7}" xr6:coauthVersionLast="47" xr6:coauthVersionMax="47" xr10:uidLastSave="{00000000-0000-0000-0000-000000000000}"/>
  <bookViews>
    <workbookView xWindow="380" yWindow="500" windowWidth="28040" windowHeight="16940" activeTab="6" xr2:uid="{71B7D95D-CF9F-914D-BC2C-9D58A428FDD5}"/>
  </bookViews>
  <sheets>
    <sheet name="sunburst" sheetId="1" r:id="rId1"/>
    <sheet name="Treemap" sheetId="2" r:id="rId2"/>
    <sheet name="pareto" sheetId="3" r:id="rId3"/>
    <sheet name="radar" sheetId="4" r:id="rId4"/>
    <sheet name="waterfall chart" sheetId="5" r:id="rId5"/>
    <sheet name="Sheet6" sheetId="6" r:id="rId6"/>
    <sheet name="Sheet7" sheetId="7" r:id="rId7"/>
  </sheets>
  <definedNames>
    <definedName name="_xlchart.v1.0" hidden="1">sunburst!$A$2:$C$19</definedName>
    <definedName name="_xlchart.v1.1" hidden="1">sunburst!$D$1</definedName>
    <definedName name="_xlchart.v1.10" hidden="1">'waterfall chart'!$A$1:$A$5</definedName>
    <definedName name="_xlchart.v1.11" hidden="1">'waterfall chart'!$B$1:$B$5</definedName>
    <definedName name="_xlchart.v1.12" hidden="1">'waterfall chart'!$A$1:$A$5</definedName>
    <definedName name="_xlchart.v1.13" hidden="1">'waterfall chart'!$B$1:$B$5</definedName>
    <definedName name="_xlchart.v1.14" hidden="1">'waterfall chart'!$A$1:$A$5</definedName>
    <definedName name="_xlchart.v1.15" hidden="1">'waterfall chart'!$B$1:$B$5</definedName>
    <definedName name="_xlchart.v1.16" hidden="1">'waterfall chart'!$A$1:$A$5</definedName>
    <definedName name="_xlchart.v1.17" hidden="1">'waterfall chart'!$B$1:$B$5</definedName>
    <definedName name="_xlchart.v1.18" hidden="1">'waterfall chart'!$A$1:$A$5</definedName>
    <definedName name="_xlchart.v1.19" hidden="1">'waterfall chart'!$B$1:$B$5</definedName>
    <definedName name="_xlchart.v1.2" hidden="1">sunburst!$D$2:$D$19</definedName>
    <definedName name="_xlchart.v1.20" hidden="1">'waterfall chart'!$A$1:$A$5</definedName>
    <definedName name="_xlchart.v1.21" hidden="1">'waterfall chart'!$B$1:$B$5</definedName>
    <definedName name="_xlchart.v1.22" hidden="1">'waterfall chart'!$A$1:$A$5</definedName>
    <definedName name="_xlchart.v1.23" hidden="1">'waterfall chart'!$B$1:$B$5</definedName>
    <definedName name="_xlchart.v1.3" hidden="1">Treemap!$A$17:$B$25</definedName>
    <definedName name="_xlchart.v1.4" hidden="1">Treemap!$C$16</definedName>
    <definedName name="_xlchart.v1.5" hidden="1">Treemap!$C$17:$C$25</definedName>
    <definedName name="_xlchart.v1.6" hidden="1">pareto!$A$10:$A$14</definedName>
    <definedName name="_xlchart.v1.7" hidden="1">pareto!$B$10:$B$14</definedName>
    <definedName name="_xlchart.v1.8" hidden="1">'waterfall chart'!$A$1:$A$5</definedName>
    <definedName name="_xlchart.v1.9" hidden="1">'waterfall chart'!$B$1:$B$5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7" l="1" a="1"/>
  <c r="C19" i="7" s="1"/>
  <c r="C9" i="7" a="1"/>
  <c r="C9" i="7" s="1"/>
  <c r="C4" i="3"/>
  <c r="C2" i="3"/>
  <c r="D6" i="3"/>
  <c r="D5" i="3"/>
  <c r="D4" i="3"/>
  <c r="D3" i="3"/>
  <c r="D2" i="3"/>
  <c r="C3" i="3"/>
  <c r="C5" i="3"/>
  <c r="C6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<sst xmlns="http://schemas.openxmlformats.org/spreadsheetml/2006/main" count="183" uniqueCount="125">
  <si>
    <t>Hierarchy</t>
  </si>
  <si>
    <t>Quarter</t>
  </si>
  <si>
    <t>Month</t>
  </si>
  <si>
    <t>Week</t>
  </si>
  <si>
    <t>Sales</t>
  </si>
  <si>
    <t>1st</t>
  </si>
  <si>
    <t>Jan</t>
  </si>
  <si>
    <t>Feb</t>
  </si>
  <si>
    <t>Week 1</t>
  </si>
  <si>
    <t>Week 2</t>
  </si>
  <si>
    <t>Week 3</t>
  </si>
  <si>
    <t>Week 4</t>
  </si>
  <si>
    <t>Mar</t>
  </si>
  <si>
    <t>2nd</t>
  </si>
  <si>
    <t>Apr</t>
  </si>
  <si>
    <t>May</t>
  </si>
  <si>
    <t>Jun</t>
  </si>
  <si>
    <t>3rd</t>
  </si>
  <si>
    <t>July</t>
  </si>
  <si>
    <t>Aug</t>
  </si>
  <si>
    <t>Sep</t>
  </si>
  <si>
    <t>4th</t>
  </si>
  <si>
    <t>Oct</t>
  </si>
  <si>
    <t>Nov</t>
  </si>
  <si>
    <t>Dec</t>
  </si>
  <si>
    <t>Any kind of data , which involves multiple levels , would be Hierarchy</t>
  </si>
  <si>
    <t>price</t>
  </si>
  <si>
    <t>quantity</t>
  </si>
  <si>
    <t>profit</t>
  </si>
  <si>
    <t>Breakfast</t>
  </si>
  <si>
    <t>Beverage</t>
  </si>
  <si>
    <t>coffee</t>
  </si>
  <si>
    <t>$2.00</t>
  </si>
  <si>
    <t>$20.00</t>
  </si>
  <si>
    <t>tea</t>
  </si>
  <si>
    <t>$3.00</t>
  </si>
  <si>
    <t>$9.00</t>
  </si>
  <si>
    <t>Food</t>
  </si>
  <si>
    <t>waffles</t>
  </si>
  <si>
    <t>$6.00</t>
  </si>
  <si>
    <t>$12.00</t>
  </si>
  <si>
    <t>pancakes</t>
  </si>
  <si>
    <t>$5.00</t>
  </si>
  <si>
    <t>$35.00</t>
  </si>
  <si>
    <t>eggs</t>
  </si>
  <si>
    <t>$24.00</t>
  </si>
  <si>
    <t>Lunch</t>
  </si>
  <si>
    <t>$10.00</t>
  </si>
  <si>
    <t>iced tea</t>
  </si>
  <si>
    <t>$45.00</t>
  </si>
  <si>
    <t>soup</t>
  </si>
  <si>
    <t>$4.00</t>
  </si>
  <si>
    <t>$16.00</t>
  </si>
  <si>
    <t>sandwich</t>
  </si>
  <si>
    <t>$36.00</t>
  </si>
  <si>
    <t>salad</t>
  </si>
  <si>
    <t>$7.00</t>
  </si>
  <si>
    <t>$70.00</t>
  </si>
  <si>
    <t>pie</t>
  </si>
  <si>
    <t>cookie</t>
  </si>
  <si>
    <t>$1.00</t>
  </si>
  <si>
    <t>$25.00</t>
  </si>
  <si>
    <t>Type</t>
  </si>
  <si>
    <t>c</t>
  </si>
  <si>
    <t>Dept</t>
  </si>
  <si>
    <t>Zone</t>
  </si>
  <si>
    <t>target</t>
  </si>
  <si>
    <t>marketing</t>
  </si>
  <si>
    <t>Zone 1</t>
  </si>
  <si>
    <t>Zone 2</t>
  </si>
  <si>
    <t>Zone 3</t>
  </si>
  <si>
    <t>Zone 4</t>
  </si>
  <si>
    <t>Zone 5</t>
  </si>
  <si>
    <t>Zone 6</t>
  </si>
  <si>
    <t>Zone 7</t>
  </si>
  <si>
    <t>Zone 8</t>
  </si>
  <si>
    <t>Zone 9</t>
  </si>
  <si>
    <t>Type of Defect</t>
  </si>
  <si>
    <t>Frequency of Defect</t>
  </si>
  <si>
    <t>% of Total</t>
  </si>
  <si>
    <t>Cumulative %</t>
  </si>
  <si>
    <t>Button Defect</t>
  </si>
  <si>
    <t>Pocket Defect</t>
  </si>
  <si>
    <t>Collar Defect</t>
  </si>
  <si>
    <t>Cuff Defect</t>
  </si>
  <si>
    <t>Sleeve Defect</t>
  </si>
  <si>
    <t>Total</t>
  </si>
  <si>
    <t>-</t>
  </si>
  <si>
    <t>Pareto mean</t>
  </si>
  <si>
    <t>80-20</t>
  </si>
  <si>
    <t>80% of results come from 20% of action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</si>
  <si>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</si>
  <si>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</si>
  <si>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</si>
  <si>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</si>
  <si>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</si>
  <si>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</si>
  <si>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</si>
  <si>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</si>
  <si>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</si>
  <si>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</si>
  <si>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 xml:space="preserve">Multiple Products and Multiple Criteria </t>
  </si>
  <si>
    <t>then use Radar Chart</t>
  </si>
  <si>
    <t>Revenue</t>
  </si>
  <si>
    <t>Cost of goods</t>
  </si>
  <si>
    <t>Gross margin</t>
  </si>
  <si>
    <t>Administrative expense</t>
  </si>
  <si>
    <t>Net income</t>
  </si>
  <si>
    <t>used to show RUNNING TOTAL</t>
  </si>
  <si>
    <t>Jul</t>
  </si>
  <si>
    <t>Data Analyst</t>
  </si>
  <si>
    <t>Senior Data Analyst</t>
  </si>
  <si>
    <t>Data Scientist</t>
  </si>
  <si>
    <t>Senior Data Scientist</t>
  </si>
  <si>
    <t>Data Engineer</t>
  </si>
  <si>
    <t>Senior Data Engineer</t>
  </si>
  <si>
    <t>START</t>
  </si>
  <si>
    <t>END</t>
  </si>
  <si>
    <t>Sencond End</t>
  </si>
  <si>
    <t>Offset updated</t>
  </si>
  <si>
    <t>extran2</t>
  </si>
  <si>
    <t>extra 1</t>
  </si>
  <si>
    <t>extra 3</t>
  </si>
  <si>
    <t xml:space="preserve">STARTQ </t>
  </si>
  <si>
    <t>END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</si>
</sst>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00263E"/>
      <name val="Arial"/>
      <family val="2"/>
    </font>
    <font>
      <sz val="12"/>
      <color rgb="FF00263E"/>
      <name val="Arial"/>
      <family val="2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" fontId="0" fillId="0" borderId="0" xfId="0" applyNumberFormat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3" fontId="1" fillId="0" borderId="0" xfId="0" applyNumberFormat="1" applyFont="1"/>
    <xf numFmtId="0" fontId="6" fillId="0" borderId="0" xfId="0" applyFont="1"/>
    <xf numFmtId="0" fontId="7" fillId="0" borderId="0" xfId="0" applyFont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radar!$A$2</c:f>
              <c:strCache>
                <c:ptCount val="1"/>
                <c:pt idx="0">
                  <c:v>Bulbasaur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radar!$B$2:$G$2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5-2E4B-B148-EF41685F42E1}"/>
            </c:ext>
          </c:extLst>
        </c:ser>
        <c:ser>
          <c:idx val="1"/>
          <c:order val="1"/>
          <c:tx>
            <c:strRef>
              <c:f>radar!$A$3</c:f>
              <c:strCache>
                <c:ptCount val="1"/>
                <c:pt idx="0">
                  <c:v>Charmander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radar!$B$3:$G$3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5-2E4B-B148-EF41685F42E1}"/>
            </c:ext>
          </c:extLst>
        </c:ser>
        <c:ser>
          <c:idx val="2"/>
          <c:order val="2"/>
          <c:tx>
            <c:strRef>
              <c:f>radar!$A$4</c:f>
              <c:strCache>
                <c:ptCount val="1"/>
                <c:pt idx="0">
                  <c:v>Squirtle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radar!$B$4:$G$4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85-2E4B-B148-EF41685F4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01583"/>
        <c:axId val="374075632"/>
      </c:radarChart>
      <c:catAx>
        <c:axId val="76200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075632"/>
        <c:crosses val="autoZero"/>
        <c:auto val="1"/>
        <c:lblAlgn val="ctr"/>
        <c:lblOffset val="100"/>
        <c:noMultiLvlLbl val="0"/>
      </c:catAx>
      <c:valAx>
        <c:axId val="37407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0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Sunburst Chart DEMO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Narrow" panose="02110004020202020204"/>
            </a:rPr>
            <a:t>Sunburst Chart DEMO</a:t>
          </a:r>
        </a:p>
      </cx:txPr>
    </cx:title>
    <cx:plotArea>
      <cx:plotAreaRegion>
        <cx:series layoutId="sunburst" uniqueId="{7D0E40D4-2592-5546-A010-335B6E9916AB}">
          <cx:tx>
            <cx:txData>
              <cx:f>_xlchart.v1.1</cx:f>
              <cx:v>Sales</cx:v>
            </cx:txData>
          </cx:tx>
          <cx:dataLabels pos="ctr">
            <cx:visibility seriesName="0" categoryName="1" value="1"/>
            <cx:separator>
</cx:separator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tree map example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tree map example</a:t>
          </a:r>
        </a:p>
      </cx:txPr>
    </cx:title>
    <cx:plotArea>
      <cx:plotAreaRegion>
        <cx:series layoutId="treemap" uniqueId="{298AC818-AB2D-CC41-A489-4A9C07D68DCF}">
          <cx:tx>
            <cx:txData>
              <cx:f>_xlchart.v1.4</cx:f>
              <cx:v>target</cx:v>
            </cx:txData>
          </cx:tx>
          <cx:dataLabels>
            <cx:visibility seriesName="1" categoryName="1" value="1"/>
            <cx:separator>
</cx:separator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/>
    <cx:plotArea>
      <cx:plotAreaRegion>
        <cx:series layoutId="clusteredColumn" uniqueId="{E8B5D606-F9C2-BA44-8C0E-570E07954B70}">
          <cx:dataLabels pos="ctr"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FB43D2DB-B33C-6C4F-AE70-2600714EE10E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_xlchart.v1.22</cx:f>
      </cx:strDim>
      <cx:numDim type="val">
        <cx:f>_xlchart.v1.23</cx:f>
      </cx:numDim>
    </cx:data>
  </cx:chartData>
  <cx:chart>
    <cx:title pos="t" align="ctr" overlay="0"/>
    <cx:plotArea>
      <cx:plotAreaRegion>
        <cx:series layoutId="waterfall" uniqueId="{9769828A-F268-7344-8227-DF3FD594EBA2}"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majorTickMarks type="out"/>
        <cx:tickLabels/>
      </cx:axis>
      <cx:axis id="1">
        <cx:valScaling/>
        <cx:majorTickMarks type="out"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85">
  <cs:axisTitle>
    <cs:lnRef idx="0"/>
    <cs:fillRef idx="0"/>
    <cs:effectRef idx="0"/>
    <cs:fontRef idx="minor">
      <a:schemeClr val="tx2"/>
    </cs:fontRef>
    <cs:defRPr sz="9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2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2"/>
    </cs:fontRef>
    <cs:defRPr sz="9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2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2"/>
    </cs:fontRef>
    <cs:defRPr sz="1600" b="1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1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/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customXml" Target="../ink/ink6.xml"/><Relationship Id="rId3" Type="http://schemas.openxmlformats.org/officeDocument/2006/relationships/image" Target="../media/image1.png"/><Relationship Id="rId7" Type="http://schemas.openxmlformats.org/officeDocument/2006/relationships/image" Target="../media/image3.png"/><Relationship Id="rId12" Type="http://schemas.openxmlformats.org/officeDocument/2006/relationships/image" Target="../media/image6.png"/><Relationship Id="rId2" Type="http://schemas.openxmlformats.org/officeDocument/2006/relationships/customXml" Target="../ink/ink1.xml"/><Relationship Id="rId1" Type="http://schemas.microsoft.com/office/2014/relationships/chartEx" Target="../charts/chartEx3.xml"/><Relationship Id="rId6" Type="http://schemas.openxmlformats.org/officeDocument/2006/relationships/customXml" Target="../ink/ink3.xml"/><Relationship Id="rId11" Type="http://schemas.openxmlformats.org/officeDocument/2006/relationships/customXml" Target="../ink/ink5.xml"/><Relationship Id="rId5" Type="http://schemas.openxmlformats.org/officeDocument/2006/relationships/image" Target="../media/image2.png"/><Relationship Id="rId10" Type="http://schemas.openxmlformats.org/officeDocument/2006/relationships/image" Target="../media/image5.jpeg"/><Relationship Id="rId4" Type="http://schemas.openxmlformats.org/officeDocument/2006/relationships/customXml" Target="../ink/ink2.xml"/><Relationship Id="rId9" Type="http://schemas.openxmlformats.org/officeDocument/2006/relationships/image" Target="../media/image4.png"/><Relationship Id="rId1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97090</xdr:colOff>
      <xdr:row>20</xdr:row>
      <xdr:rowOff>140806</xdr:rowOff>
    </xdr:from>
    <xdr:to>
      <xdr:col>6</xdr:col>
      <xdr:colOff>311150</xdr:colOff>
      <xdr:row>36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74E0917-1EC1-AF3B-5560-AD7CEE0184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90" y="4204806"/>
              <a:ext cx="5167060" cy="32818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286444</xdr:colOff>
      <xdr:row>15</xdr:row>
      <xdr:rowOff>195041</xdr:rowOff>
    </xdr:from>
    <xdr:to>
      <xdr:col>11</xdr:col>
      <xdr:colOff>593284</xdr:colOff>
      <xdr:row>33</xdr:row>
      <xdr:rowOff>27809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3918591D-3A2C-FDCB-2D52-DFCEA2F1F8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6590" y="3254165"/>
              <a:ext cx="6082095" cy="3503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604727</xdr:colOff>
      <xdr:row>15</xdr:row>
      <xdr:rowOff>23924</xdr:rowOff>
    </xdr:from>
    <xdr:to>
      <xdr:col>3</xdr:col>
      <xdr:colOff>155797</xdr:colOff>
      <xdr:row>28</xdr:row>
      <xdr:rowOff>79450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8C45D12-95AC-2F9B-8187-EA6551BCA2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4727" y="31250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1504031</xdr:colOff>
      <xdr:row>18</xdr:row>
      <xdr:rowOff>155085</xdr:rowOff>
    </xdr:from>
    <xdr:to>
      <xdr:col>2</xdr:col>
      <xdr:colOff>1208219</xdr:colOff>
      <xdr:row>18</xdr:row>
      <xdr:rowOff>176325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B1634B2D-EF93-1721-C0BC-E6BEC83318FD}"/>
                </a:ext>
              </a:extLst>
            </xdr14:cNvPr>
            <xdr14:cNvContentPartPr/>
          </xdr14:nvContentPartPr>
          <xdr14:nvPr macro=""/>
          <xdr14:xfrm>
            <a:off x="3386880" y="3876480"/>
            <a:ext cx="1276920" cy="2124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B1634B2D-EF93-1721-C0BC-E6BEC83318F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380760" y="3870360"/>
              <a:ext cx="1289160" cy="3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1474511</xdr:colOff>
      <xdr:row>18</xdr:row>
      <xdr:rowOff>148245</xdr:rowOff>
    </xdr:from>
    <xdr:to>
      <xdr:col>1</xdr:col>
      <xdr:colOff>1500791</xdr:colOff>
      <xdr:row>27</xdr:row>
      <xdr:rowOff>175027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4957968C-6DD4-89E0-3DE5-5D0DCA404BA3}"/>
                </a:ext>
              </a:extLst>
            </xdr14:cNvPr>
            <xdr14:cNvContentPartPr/>
          </xdr14:nvContentPartPr>
          <xdr14:nvPr macro=""/>
          <xdr14:xfrm>
            <a:off x="3357360" y="3869640"/>
            <a:ext cx="26280" cy="188748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4957968C-6DD4-89E0-3DE5-5D0DCA404BA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353040" y="3865216"/>
              <a:ext cx="34920" cy="1896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1381320</xdr:colOff>
      <xdr:row>21</xdr:row>
      <xdr:rowOff>4292</xdr:rowOff>
    </xdr:from>
    <xdr:to>
      <xdr:col>1</xdr:col>
      <xdr:colOff>1408271</xdr:colOff>
      <xdr:row>22</xdr:row>
      <xdr:rowOff>113628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D7489E68-BAD2-9AAD-A606-A709B0B1A74D}"/>
                </a:ext>
              </a:extLst>
            </xdr14:cNvPr>
            <xdr14:cNvContentPartPr/>
          </xdr14:nvContentPartPr>
          <xdr14:nvPr macro=""/>
          <xdr14:xfrm>
            <a:off x="1381320" y="4345920"/>
            <a:ext cx="1909800" cy="31608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D7489E68-BAD2-9AAD-A606-A709B0B1A74D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377000" y="4341600"/>
              <a:ext cx="1918440" cy="32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100083</xdr:colOff>
      <xdr:row>9</xdr:row>
      <xdr:rowOff>32266</xdr:rowOff>
    </xdr:from>
    <xdr:to>
      <xdr:col>1</xdr:col>
      <xdr:colOff>367563</xdr:colOff>
      <xdr:row>12</xdr:row>
      <xdr:rowOff>35914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2B070009-4DF0-5014-FC93-3A64C5E56102}"/>
                </a:ext>
              </a:extLst>
            </xdr14:cNvPr>
            <xdr14:cNvContentPartPr/>
          </xdr14:nvContentPartPr>
          <xdr14:nvPr macro=""/>
          <xdr14:xfrm>
            <a:off x="1977171" y="1853530"/>
            <a:ext cx="267480" cy="610736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B070009-4DF0-5014-FC93-3A64C5E5610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972851" y="1849229"/>
              <a:ext cx="276120" cy="6193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0</xdr:colOff>
      <xdr:row>16</xdr:row>
      <xdr:rowOff>0</xdr:rowOff>
    </xdr:from>
    <xdr:to>
      <xdr:col>21</xdr:col>
      <xdr:colOff>25400</xdr:colOff>
      <xdr:row>62</xdr:row>
      <xdr:rowOff>190500</xdr:rowOff>
    </xdr:to>
    <xdr:pic>
      <xdr:nvPicPr>
        <xdr:cNvPr id="9" name="Picture 8" descr="Pareto Analysis: Definition, How to Create a Pareto Chart ...">
          <a:extLst>
            <a:ext uri="{FF2B5EF4-FFF2-40B4-BE49-F238E27FC236}">
              <a16:creationId xmlns:a16="http://schemas.microsoft.com/office/drawing/2014/main" id="{509E300A-EBD3-E49D-8717-D696C68050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34200" y="3251200"/>
          <a:ext cx="13233400" cy="953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407960</xdr:colOff>
      <xdr:row>29</xdr:row>
      <xdr:rowOff>18040</xdr:rowOff>
    </xdr:from>
    <xdr:to>
      <xdr:col>18</xdr:col>
      <xdr:colOff>410120</xdr:colOff>
      <xdr:row>29</xdr:row>
      <xdr:rowOff>18400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6A67B51E-BB03-855C-9A9A-46752F1512A0}"/>
                </a:ext>
              </a:extLst>
            </xdr14:cNvPr>
            <xdr14:cNvContentPartPr/>
          </xdr14:nvContentPartPr>
          <xdr14:nvPr macro=""/>
          <xdr14:xfrm>
            <a:off x="18137160" y="5910840"/>
            <a:ext cx="2160" cy="36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6A67B51E-BB03-855C-9A9A-46752F1512A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8132840" y="5906520"/>
              <a:ext cx="108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436747</xdr:colOff>
      <xdr:row>29</xdr:row>
      <xdr:rowOff>1120</xdr:rowOff>
    </xdr:from>
    <xdr:to>
      <xdr:col>18</xdr:col>
      <xdr:colOff>416240</xdr:colOff>
      <xdr:row>55</xdr:row>
      <xdr:rowOff>8480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CA6FA138-1396-E2D5-FFE6-17892C0F25FB}"/>
                </a:ext>
              </a:extLst>
            </xdr14:cNvPr>
            <xdr14:cNvContentPartPr/>
          </xdr14:nvContentPartPr>
          <xdr14:nvPr macro=""/>
          <xdr14:xfrm>
            <a:off x="9038880" y="5893920"/>
            <a:ext cx="9106560" cy="529056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CA6FA138-1396-E2D5-FFE6-17892C0F25F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9034527" y="5889582"/>
              <a:ext cx="9115266" cy="529923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734392</xdr:colOff>
      <xdr:row>6</xdr:row>
      <xdr:rowOff>182770</xdr:rowOff>
    </xdr:from>
    <xdr:to>
      <xdr:col>6</xdr:col>
      <xdr:colOff>336827</xdr:colOff>
      <xdr:row>20</xdr:row>
      <xdr:rowOff>65709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048E5-42FA-8629-4171-691A1E895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282433</xdr:colOff>
      <xdr:row>9</xdr:row>
      <xdr:rowOff>16869</xdr:rowOff>
    </xdr:from>
    <xdr:to>
      <xdr:col>9</xdr:col>
      <xdr:colOff>682388</xdr:colOff>
      <xdr:row>24</xdr:row>
      <xdr:rowOff>56865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B22AF23-C64D-51D6-9B25-7E55FA36CB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31911" y="1808138"/>
              <a:ext cx="6171820" cy="30254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0:30.626"/>
    </inkml:context>
    <inkml:brush xml:id="br0">
      <inkml:brushProperty name="width" value="0.035" units="cm"/>
      <inkml:brushProperty name="height" value="0.035" units="cm"/>
      <inkml:brushProperty name="color" value="#00A0D7"/>
    </inkml:brush>
  </inkml:definitions>
  <inkml:trace contextRef="#ctx0" brushRef="#br0">3547 58 24575,'-12'0'0,"-12"0"0,-27 0 0,-34 0 0,31 0 0,-4 0 0,-7 0 0,-2 0 0,-5 0 0,-1 0 0,1 0 0,1 0 0,-1 0 0,1 0 0,6-1 0,2 0 0,9-1 0,4 0 0,-34-3 0,26 0 0,16 2 0,11 1 0,2-1 0,0 2 0,-3-1 0,-1 1 0,0 1 0,-5 0 0,-3 0 0,-7 0 0,-6 0 0,-7 0 0,-5 0 0,-1 0 0,3 0 0,6 0 0,6 0 0,5 0 0,4 0 0,3 0 0,3 0 0,1 0 0,-1 0 0,-5 0 0,-7 0 0,-6 0 0,-4 0 0,1 0 0,5 0 0,2 0 0,2 0 0,1 0 0,1 0 0,3 0 0,3-1 0,4 0 0,4-1 0,2-1 0,3 0 0,2 2 0,0 0 0,0 0 0,-2-1 0,-2 1 0,-3-1 0,1 2 0,1-1 0,4-1 0,4-1 0,4 0 0,4 2 0,3-1 0,2 2 0,0 0 0,2 0 0,0 0 0,0 0 0,0 0 0,-3 0 0,0 0 0,-2 0 0,-1 0 0,0 0 0,-2 0 0,-1 0 0,-1 0 0,0 0 0,1 0 0,1 0 0,3 0 0,1 1 0,5 1 0,3 2 0,3 0 0,1-1 0,1-2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0:35.156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52 1 24575,'0'10'0,"0"8"0,0 12 0,0 17 0,0 13 0,0 5 0,0-1 0,-1-7 0,0-5 0,-1-7 0,0-6 0,1-4 0,-1-4 0,0 2 0,0 5 0,0 2 0,0 1 0,-1-2 0,0-3 0,0-4 0,0-2 0,2-3 0,-1 0 0,1 1 0,-1-3 0,0 0 0,1 1 0,1 3 0,0 7 0,0 5 0,0 4 0,0 3 0,0 0 0,0 1 0,0 0 0,0-2 0,0-1 0,-1-2 0,-1-1 0,0 2 0,-1 1 0,1 1 0,0 1 0,0 2 0,2 2 0,0 3 0,0 6 0,0 10 0,0 11 0,0 9 0,0-41 0,0 0 0,0 0 0,0 1 0,0 1 0,0 0 0,0 1 0,0-1 0,0 0 0,0 0 0,0 0 0,0 0 0,0-1 0,0 0 0,0-2 0,0 0 0,0 41 0,0-8 0,0-8 0,0 1 0,0 2 0,0 7 0,0 0 0,0-7 0,0-8 0,0-9 0,0-5 0,1 1 0,1 3 0,0 3 0,1 1 0,1-2 0,1-4 0,2-1 0,-2 0 0,-1 1 0,-1 5 0,1-2 0,0-3 0,1-2 0,-1-4 0,-1-3 0,-1-5 0,0-8 0,-1-6 0,-1-5 0,0-4 0,2 1 0,-1-1 0,1 0 0,-1 2 0,-1-2 0,0-1 0,0-2 0,0-4 0,1 0 0,0-3 0,0-1 0,1-1 0,-2 0 0,0 1 0,0-2 0,0 3 0,0-1 0,0-1 0,0 2 0,0-1 0,0-1 0,0 0 0,0-1 0,0-4 0,0-1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0:38.458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0 21 24575,'12'0'0,"61"0"0,7 0 0,15 0 0,-8 0 0,9 0 0,2 0-864,-11 0 1,3 0 0,1 0 0,-2 0 863,-2 0 0,0 0 0,-2 0 0,-1 0 0,-6 0 0,-1 0 0,-2 0 0,-3 0 201,12 0 0,-4 0 0,-2 1-201,-9 0 0,-3 0 0,0 1 0,34 3 0,-2 1 0,-9 0 0,-2 2 336,-4 0 1,-1 1-337,-14 0 0,-2-1 0,-8-2 0,-1 1 0,-3-2 0,0-1 885,4 0 0,2-1-885,13 0 0,2-1 203,2-1 1,2 0-204,-1 0 0,0 0 0,-10-1 0,-4 0 0,-12 1 0,-3 0 0,33 2 0,-7 3 0,14 1 0,-38-3 0,2 1 0,3-1 0,2 0 0,1 1 0,1 0 0,0 1 0,1 0 0,3 1 0,0 1 0,1 0 0,0 1 0,-1 0 0,0 0 0,-4-1 0,-1 0 0,38 5 0,-21-3 0,-28-2 0,-18-2 0,-11-2 0,-4-1 0,-5-2 0,-3-2 0,-4-2 0,-2-3 0,-2-5 0,-7-7 0,-7-8 0,-5-5 0,-3-2 0,2 4 0,2 7 0,2 7 0,-1 2 0,0 2 0,2 1 0,2-2 0,2 4 0,1-1 0,2 2 0,-1 0 0,3 0 0,3 1 0,5 2 0,8 2 0,8 2 0,6 3 0,4 4 0,1 6 0,0 6 0,2 4 0,0 9 0,1 6 0,-2 5 0,-5 2 0,-6-5 0,-3-8 0,-4-9 0,-2-6 0,-4-7 0,-2-2 0,-2-2 0,-3-2 0,-4-1 0,-6-1 0,-4 2 0,-3 2 0,0 4 0,0 2 0,1 2 0,2 1 0,2 1 0,4-2 0,1-1 0,2-1 0,2-1 0,-2 0 0,-1 0 0,-2-1 0,-1 1 0,-3 5 0,-3 8 0,-8 12 0,-5 11 0,-3 3 0,2-2 0,3-6 0,6-11 0,5-7 0,6-9 0,4-9 0,3-14 0,2 4 0,1-7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0:44.957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474 1 24575,'19'0'0,"13"0"0,14 2 0,3 3 0,-7 2 0,-15 3 0,-12-2 0,-9 1 0,-4-1 0,-2 0 0,0 1 0,0 1 0,0 3 0,0 5 0,0 13 0,0 23 0,0 25 0,0-27 0,0 4 0,0 8 0,0 4 0,0 6 0,0 1 0,0 3 0,0 1 0,0-1 0,1-1 0,1-4 0,1-2 0,0-9 0,0-2 0,0-8 0,0-5 0,3 26 0,-3-23 0,-1-16 0,0-12 0,-2-7 0,0-3 0,0-1 0,0 0 0,0-2 0,0-1 0,-2-2 0,-8-3 0,-17 0 0,-30 3 0,-26 5 0,31-3 0,-2 1 0,-4 1 0,-1 0 0,4 0 0,2-1 0,-40 7 0,26-6 0,28-6 0,18-2 0,12 0 0,6-1 0,3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1:48.400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0 0 24575,'3'0'0,"-1"0"0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9T16:21:52.022"/>
    </inkml:context>
    <inkml:brush xml:id="br0">
      <inkml:brushProperty name="width" value="0.025" units="cm"/>
      <inkml:brushProperty name="height" value="0.025" units="cm"/>
      <inkml:brushProperty name="color" value="#66CC00"/>
    </inkml:brush>
  </inkml:definitions>
  <inkml:trace contextRef="#ctx0" brushRef="#br0">25103 1 24575,'-26'0'0,"-61"0"0,19 0 0,-12 0 0,-7 0-1478,10 0 1,-7 0 0,-4 0 0,-3 0 0,-2 0 1477,12 0 0,-1 0 0,-3 0 0,-2 0 0,-1 0 0,-1 0 0,0 0-403,2 0 0,-1 0 0,-1 0 0,-1 0 0,0 0 0,-2 0 0,0 0 0,-1 0 403,5 0 0,-1 0 0,-1 0 0,-1 0 0,0 0 0,0 0 0,-1 0 0,1 0 0,-1 0-165,-1 0 0,0 0 1,-1 0-1,0 0 0,0 0 0,1 0 1,-1 0-1,0 0 0,0 0 165,1 0 0,0 0 0,0 0 0,0 0 0,0 0 0,0 0 0,1 0 0,0 0 0,1 0 0,-6 0 0,0 0 0,0 0 0,1 0 0,0 0 0,2 0 0,1 0 0,2 0-235,-1 0 0,1-1 1,2 1-1,1 0 1,0 0-1,3 0 1,0 1 234,-4-1 0,1 1 0,1-1 0,2 1 0,1 0 0,0 1 148,-8-1 1,2 1 0,0 1-1,2-1 1,0 0-149,6 1 0,0-1 0,1 1 0,1 0 0,-1 0 0,1 1 0,-1 0 0,1 0 0,0 1 0,-1 0 0,-2-1 0,0 1 0,-1 0 0,0 0 0,-1 0 0,-4 1 0,0-1 0,-1 0 0,0 1 0,-1 0 0,-3-1 0,-1 2 0,0-1 0,0 0 0,-1 0 223,14-1 0,-1 0 1,0 0-1,0 0 1,0 0-1,0-1-223,-2 1 0,1 0 0,-1 0 0,0 0 0,1-1 0,-1 0 0,1 0 0,0 0 0,0 0 0,0 0 0,1-1 0,0 1 0,-15-1 0,1 0 0,0 0 0,1 0 0,0-1 0,3 0 0,0-1 0,0 0 0,2 0 0,0 0 0,7 0 0,1-1 0,1 1 0,1 0 0,0 0 654,-14 0 1,1 0 0,2 0 0,1 1-655,7 0 0,1 0 0,2 0 0,1 2 785,-12 1 0,2 1 0,2 1-785,7 0 0,2 0 0,3 2 0,6 0 0,3 1 0,1 0 792,-24 5 0,2 0-792,5-2 0,0 0 0,3-2 0,0 0 0,4 0 0,0-2 1328,2-1 0,1-1-1328,2 2 0,1-2 804,1-1 1,-1-1-805,2 1 0,0 0 309,-1-1 0,1 1-309,-2 0 0,1 0 105,2 2 1,1 0-106,2-2 0,0 0 0,3 0 0,1-1 0,5 1 0,2 0 0,-45 3 0,13-2 0,12-3 0,8-4 0,6 0 0,1 0 0,-1 0 0,-1 0 0,-3 0 0,-3 0 0,-3 0 0,-6 0 0,-5-3 0,-4-4 0,-6-7 0,0-5 0,7-4 0,6-2 0,5-1 0,11-2 0,2 1 0,13 3 0,22 11 0,8 3 0</inkml:trace>
  <inkml:trace contextRef="#ctx0" brushRef="#br0" timeOffset="1617">8349 568 24575,'0'46'0,"0"23"0,0 19 0,0-15 0,0 10 0,0 6 0,0 3-1298,0-11 0,0 4 1,0 4-1,0 2 1,0 1-1,0 1 1298,0-4 0,0 2 0,0 2 0,0 0 0,0 1 0,0 1 0,0 0-283,0-9 1,0 1-1,0 0 1,0 1 0,0 0-1,0 0 1,0 0-1,0-1 283,0 11 0,0 1 0,0-1 0,0 0 0,0 0 0,0-2 0,0 0 0,0-8 0,0 1 0,0-2 0,0 0 0,0-1 0,0-1 0,0 0 5,0 10 1,0-1 0,0-1 0,0 0-1,0-2 1,0-2-6,0 8 0,0-2 0,0-2 0,0 0 0,0-1 0,0-6 0,0-2 0,0 1 0,0-1 0,0 1 0,0 3 0,-1 1 0,1 0 0,0 1 0,1 0 0,-1 4 0,1 1 0,0 0 0,0 1 0,1 1 0,0-10 0,0 0 0,1 0 0,0 2 0,1-1 0,-1 1-298,1 2 0,0 1 0,0 1 0,1-1 0,0 0 0,0-1 298,-1-6 0,1 1 0,1-2 0,-1 0 0,0-1 0,0-1 0,1 7 0,0 0 0,0-2 0,0-1 0,-1-3 461,1 5 1,-1-1 0,0-4-1,0-3-461,0 6 0,0-5 0,-1-1 1014,0-9 0,-1-1 0,-1-1-1014,1 27 0,-2 1 0,0-22 0,-1 4 0,1 2 146,0-7 1,0 3 0,1 2-1,-1 2-146,2 14 0,-1 3 0,1 3 0,1 2 56,-1-12 0,0 3 1,0 1-1,0 0 0,0 1-56,0-1 0,0 1 0,1-1 0,-1 1 0,0-2 0,-1-4 0,1 0 0,-1 0 0,1-3 0,-1-1-46,0 8 1,-1-2-1,0-2 1,0-4 45,0 9 0,0-3 0,-1-4-46,1-11 0,-2-2 0,1-3 46,0 23 0,0-3 0,0-3 0,0 0 0,0-2 0,0-2 924,0-5 0,0-4-924,0-9 0,0-3 2914,0 32-2914,0-28 1147,0-22-1147,0-14 456,0-4-456,0 8 0,0 21 0,0 19 0,0 17 0,0-1 0,0-15 0,0-18 0,0-14 0,0-13 0,0-6 0,0-2 0,0-2 0,0-3 0,0 0 0,0-9 0,0-4 0</inkml:trace>
  <inkml:trace contextRef="#ctx0" brushRef="#br0" timeOffset="3900">849 10801 9544,'20'-6'0,"31"2"5115,47 2-5115,-27 1 0,5 2 0,18-1 0,6 0 394,-25 0 1,3 0-1,5 0-394,-4 0 0,4 0 0,3 0 0,4 0-185,-3 0 1,2 0 0,4 0 0,2 0 0,2 0 184,-15 0 0,3 0 0,1 0 0,1 0 0,2 0 0,0 0 0,1 0 106,-5 0 1,2 0-1,1 0 1,0 0-1,0 0 1,1 0-1,-2 0 1,0 0-107,7 0 0,1 0 0,-1 0 0,0 0 0,-1 0 0,-1 0 0,-1 0 0,7 0 0,0 0 0,-1 0 0,-2 0 0,-1 0 0,-3 0-216,4 0 1,-2 0-1,-3 0 1,-2 0-1,-2 0 216,6 0 0,-4 0 0,-2 0 0,-2 0 174,18 0 0,-4 0 0,-3 0-174,-14 0 0,-4 0 0,-2 0 0,20-3 0,-6-1 1372,-15 0 1,-5-1-1373,-13 0 0,-3 1 4033,30-3-4033,-12 6 1819,1 1-1819,-3 0 761,-6 0-761,-17 0 0,-13-1 0,-14-4 0,-9-2 0,-6-5 0,-7-10 0,-13-16 0,-20-18 0,-21-11 0,-15-1 0,34 36 0,-2 1 0,-38-21 0,2 8 0,10 13 0,15 10 0,18 5 0,15 3 0,11 0 0,6 0 0,2 4 0,4 2 0,13 7 0,23 17 0,20 25 0,-20-9 0,0 4 0,4 9 0,0 4 0,-2 3 0,0 2 0,-2 0 0,0 1 0,-2-2 0,1-1 0,3-5 0,3-3 0,4-4 0,3-4 0,1-5 0,1-4 0,-4-4 0,-1-3 0,25 13 0,-25-10 0,-26-6 0,-34-9 0,-37-5 0,-38-4 0,32 0 0,-2 0 0,-1 0 0,1 0 0,2 0 0,2 0 0,-38 0 0,15 0 0,18 0 0,19 0 0,17 0 0,12 0 0,7 0 0</inkml:trace>
  <inkml:trace contextRef="#ctx0" brushRef="#br0" timeOffset="5166">1509 10094 24575,'-12'-13'0,"-49"25"0,-6 10 0,-13 7 0,3 1 0,-7 4 0,-2 2-759,14-6 0,-2 1 0,-1 0 0,2 0 759,-19 7 0,0 0 0,4-3 0,12-5 0,3-2 0,5-3 479,-4-2 1,9-3-480,-17 5 498,39-10-498,39-3 0,11 4 0,11 0 1579,15 3-1579,19 3 0,31 9 0,-12 2 0,9 7 0,-6-1 0,6 4 0,6 5-779,-14-7 0,5 2 1,4 3-1,3 1 1,1 1 778,-12-8 0,1 1 0,2 1 0,2 0 0,0 1 0,2 0 0,1-1-500,-4-1 0,1 0 0,2 0 0,0 0 0,1 0 0,0-1 0,0 1 0,-1-2 500,-2 0 0,0-1 0,1 0 0,0-1 0,-1 1 0,-1-2 0,-1-1 0,-1-1 0,13 6 0,0-1 0,-2-2 0,-2-1 0,-2-1 0,-3-1-123,-1-1 0,-2-1 0,-2-2 1,-4-1-1,-5-3 123,11 4 0,-6-3 0,-6-3 0,4 2 0,-11-6 0,-5-9 0,-35-7 0,-11-11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EB1C-D53C-1F4E-9BEE-B950ECC66A05}" name="Table1" displayName="Table1" ref="A1:F13" totalsRowShown="0" headerRowDxfId="0" dataDxfId="1">
  <autoFilter ref="A1:F13" xr:uid="{73CAEB1C-D53C-1F4E-9BEE-B950ECC66A05}"/>
  <tableColumns count="6">
    <tableColumn id="1" xr3:uid="{1AF41A6B-5E9B-1145-A517-6EFB22ECF640}" name="c" dataDxfId="7"/>
    <tableColumn id="2" xr3:uid="{EEB9175C-F75A-A046-A837-122065FCC662}" name="Type" dataDxfId="6"/>
    <tableColumn id="3" xr3:uid="{18ACC275-1C49-5149-9B81-09DEB36F7524}" name="Beverage" dataDxfId="5"/>
    <tableColumn id="4" xr3:uid="{C688B87F-8434-7F48-B92F-C6A6E0A57428}" name="price" dataDxfId="4"/>
    <tableColumn id="5" xr3:uid="{2D5DDA63-751F-374C-AA3C-A19C7F45E5F0}" name="quantity" dataDxfId="3"/>
    <tableColumn id="6" xr3:uid="{46CB5B4C-354A-7B42-A356-A320FC51B646}" name="profi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21C8-76F8-8246-99C9-B4A41EFD821F}">
  <dimension ref="A1:F19"/>
  <sheetViews>
    <sheetView zoomScale="200" workbookViewId="0">
      <selection activeCell="F10" sqref="F10"/>
    </sheetView>
  </sheetViews>
  <sheetFormatPr baseColWidth="10" defaultRowHeight="16" x14ac:dyDescent="0.2"/>
  <sheetData>
    <row r="1" spans="1:6" x14ac:dyDescent="0.2">
      <c r="A1" t="s">
        <v>1</v>
      </c>
      <c r="B1" t="s">
        <v>2</v>
      </c>
      <c r="C1" t="s">
        <v>3</v>
      </c>
      <c r="D1" t="s">
        <v>4</v>
      </c>
    </row>
    <row r="2" spans="1:6" x14ac:dyDescent="0.2">
      <c r="A2" s="1" t="s">
        <v>5</v>
      </c>
      <c r="B2" s="1" t="s">
        <v>6</v>
      </c>
      <c r="C2" s="2"/>
      <c r="D2" s="1">
        <v>3.5</v>
      </c>
    </row>
    <row r="3" spans="1:6" x14ac:dyDescent="0.2">
      <c r="A3" s="2"/>
      <c r="B3" s="1" t="s">
        <v>7</v>
      </c>
      <c r="C3" s="1" t="s">
        <v>8</v>
      </c>
      <c r="D3" s="1">
        <v>1.2</v>
      </c>
      <c r="F3" t="s">
        <v>0</v>
      </c>
    </row>
    <row r="4" spans="1:6" x14ac:dyDescent="0.2">
      <c r="A4" s="2"/>
      <c r="B4" s="2"/>
      <c r="C4" s="1" t="s">
        <v>9</v>
      </c>
      <c r="D4" s="1">
        <v>0.8</v>
      </c>
    </row>
    <row r="5" spans="1:6" x14ac:dyDescent="0.2">
      <c r="A5" s="2"/>
      <c r="B5" s="2"/>
      <c r="C5" s="1" t="s">
        <v>10</v>
      </c>
      <c r="D5" s="1">
        <v>0.6</v>
      </c>
      <c r="F5" t="s">
        <v>25</v>
      </c>
    </row>
    <row r="6" spans="1:6" x14ac:dyDescent="0.2">
      <c r="A6" s="2"/>
      <c r="B6" s="2"/>
      <c r="C6" s="1" t="s">
        <v>11</v>
      </c>
      <c r="D6" s="1">
        <v>0.5</v>
      </c>
    </row>
    <row r="7" spans="1:6" x14ac:dyDescent="0.2">
      <c r="A7" s="2"/>
      <c r="B7" s="1" t="s">
        <v>12</v>
      </c>
      <c r="C7" s="2"/>
      <c r="D7" s="1">
        <v>1.7</v>
      </c>
    </row>
    <row r="8" spans="1:6" x14ac:dyDescent="0.2">
      <c r="A8" s="1" t="s">
        <v>13</v>
      </c>
      <c r="B8" s="1" t="s">
        <v>14</v>
      </c>
      <c r="C8" s="2"/>
      <c r="D8" s="1">
        <v>2.1</v>
      </c>
    </row>
    <row r="9" spans="1:6" x14ac:dyDescent="0.2">
      <c r="A9" s="2"/>
      <c r="B9" s="1" t="s">
        <v>15</v>
      </c>
      <c r="C9" s="2"/>
      <c r="D9" s="1">
        <v>0.8</v>
      </c>
    </row>
    <row r="10" spans="1:6" x14ac:dyDescent="0.2">
      <c r="A10" s="2"/>
      <c r="B10" s="1" t="s">
        <v>16</v>
      </c>
      <c r="C10" s="2"/>
      <c r="D10" s="1">
        <v>0.3</v>
      </c>
    </row>
    <row r="11" spans="1:6" x14ac:dyDescent="0.2">
      <c r="A11" s="1" t="s">
        <v>17</v>
      </c>
      <c r="B11" s="1" t="s">
        <v>18</v>
      </c>
      <c r="C11" s="2"/>
      <c r="D11" s="1">
        <v>0.7</v>
      </c>
    </row>
    <row r="12" spans="1:6" x14ac:dyDescent="0.2">
      <c r="A12" s="2"/>
      <c r="B12" s="1" t="s">
        <v>19</v>
      </c>
      <c r="C12" s="2"/>
      <c r="D12" s="1">
        <v>0.6</v>
      </c>
    </row>
    <row r="13" spans="1:6" x14ac:dyDescent="0.2">
      <c r="A13" s="2"/>
      <c r="B13" s="1" t="s">
        <v>20</v>
      </c>
      <c r="C13" s="2"/>
      <c r="D13" s="1">
        <v>0.1</v>
      </c>
    </row>
    <row r="14" spans="1:6" x14ac:dyDescent="0.2">
      <c r="A14" s="1" t="s">
        <v>21</v>
      </c>
      <c r="B14" s="1" t="s">
        <v>22</v>
      </c>
      <c r="C14" s="2"/>
      <c r="D14" s="1">
        <v>0.5</v>
      </c>
    </row>
    <row r="15" spans="1:6" x14ac:dyDescent="0.2">
      <c r="A15" s="2"/>
      <c r="B15" s="1" t="s">
        <v>23</v>
      </c>
      <c r="C15" s="2"/>
      <c r="D15" s="1">
        <v>0.4</v>
      </c>
    </row>
    <row r="16" spans="1:6" x14ac:dyDescent="0.2">
      <c r="A16" s="2"/>
      <c r="B16" s="1" t="s">
        <v>24</v>
      </c>
      <c r="C16" s="1" t="s">
        <v>8</v>
      </c>
      <c r="D16" s="1">
        <v>1.5</v>
      </c>
    </row>
    <row r="17" spans="3:4" x14ac:dyDescent="0.2">
      <c r="C17" s="1" t="s">
        <v>9</v>
      </c>
      <c r="D17" s="1">
        <v>1.8</v>
      </c>
    </row>
    <row r="18" spans="3:4" x14ac:dyDescent="0.2">
      <c r="C18" s="1" t="s">
        <v>10</v>
      </c>
      <c r="D18" s="1">
        <v>0.2</v>
      </c>
    </row>
    <row r="19" spans="3:4" x14ac:dyDescent="0.2">
      <c r="C19" s="1" t="s">
        <v>11</v>
      </c>
      <c r="D19" s="1">
        <v>0.3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D9C4-F631-EE4F-A3EE-D6AA5750E61C}">
  <dimension ref="A1:F25"/>
  <sheetViews>
    <sheetView topLeftCell="C11" zoomScale="137" workbookViewId="0">
      <selection activeCell="O21" sqref="O21"/>
    </sheetView>
  </sheetViews>
  <sheetFormatPr baseColWidth="10" defaultRowHeight="16" x14ac:dyDescent="0.2"/>
  <sheetData>
    <row r="1" spans="1:6" x14ac:dyDescent="0.2">
      <c r="A1" s="3" t="s">
        <v>63</v>
      </c>
      <c r="B1" s="2" t="s">
        <v>62</v>
      </c>
      <c r="C1" s="2" t="s">
        <v>30</v>
      </c>
      <c r="D1" s="1" t="s">
        <v>26</v>
      </c>
      <c r="E1" s="1" t="s">
        <v>27</v>
      </c>
      <c r="F1" s="1" t="s">
        <v>28</v>
      </c>
    </row>
    <row r="2" spans="1:6" x14ac:dyDescent="0.2">
      <c r="A2" s="1" t="s">
        <v>29</v>
      </c>
      <c r="B2" s="1" t="s">
        <v>30</v>
      </c>
      <c r="C2" s="1" t="s">
        <v>31</v>
      </c>
      <c r="D2" s="1" t="s">
        <v>32</v>
      </c>
      <c r="E2" s="1">
        <v>10</v>
      </c>
      <c r="F2" s="1" t="s">
        <v>33</v>
      </c>
    </row>
    <row r="3" spans="1:6" x14ac:dyDescent="0.2">
      <c r="A3" s="1" t="s">
        <v>29</v>
      </c>
      <c r="B3" s="1" t="s">
        <v>30</v>
      </c>
      <c r="C3" s="1" t="s">
        <v>34</v>
      </c>
      <c r="D3" s="1" t="s">
        <v>35</v>
      </c>
      <c r="E3" s="1">
        <v>3</v>
      </c>
      <c r="F3" s="1" t="s">
        <v>36</v>
      </c>
    </row>
    <row r="4" spans="1:6" x14ac:dyDescent="0.2">
      <c r="A4" s="1" t="s">
        <v>29</v>
      </c>
      <c r="B4" s="1" t="s">
        <v>37</v>
      </c>
      <c r="C4" s="1" t="s">
        <v>38</v>
      </c>
      <c r="D4" s="1" t="s">
        <v>39</v>
      </c>
      <c r="E4" s="1">
        <v>2</v>
      </c>
      <c r="F4" s="1" t="s">
        <v>40</v>
      </c>
    </row>
    <row r="5" spans="1:6" x14ac:dyDescent="0.2">
      <c r="A5" s="1" t="s">
        <v>29</v>
      </c>
      <c r="B5" s="1" t="s">
        <v>37</v>
      </c>
      <c r="C5" s="1" t="s">
        <v>41</v>
      </c>
      <c r="D5" s="1" t="s">
        <v>42</v>
      </c>
      <c r="E5" s="1">
        <v>7</v>
      </c>
      <c r="F5" s="1" t="s">
        <v>43</v>
      </c>
    </row>
    <row r="6" spans="1:6" x14ac:dyDescent="0.2">
      <c r="A6" s="1" t="s">
        <v>29</v>
      </c>
      <c r="B6" s="1" t="s">
        <v>37</v>
      </c>
      <c r="C6" s="1" t="s">
        <v>44</v>
      </c>
      <c r="D6" s="1" t="s">
        <v>39</v>
      </c>
      <c r="E6" s="1">
        <v>4</v>
      </c>
      <c r="F6" s="1" t="s">
        <v>45</v>
      </c>
    </row>
    <row r="7" spans="1:6" x14ac:dyDescent="0.2">
      <c r="A7" s="1" t="s">
        <v>46</v>
      </c>
      <c r="B7" s="1" t="s">
        <v>30</v>
      </c>
      <c r="C7" s="1" t="s">
        <v>31</v>
      </c>
      <c r="D7" s="1" t="s">
        <v>32</v>
      </c>
      <c r="E7" s="1">
        <v>5</v>
      </c>
      <c r="F7" s="1" t="s">
        <v>47</v>
      </c>
    </row>
    <row r="8" spans="1:6" x14ac:dyDescent="0.2">
      <c r="A8" s="1" t="s">
        <v>46</v>
      </c>
      <c r="B8" s="1" t="s">
        <v>30</v>
      </c>
      <c r="C8" s="1" t="s">
        <v>48</v>
      </c>
      <c r="D8" s="1" t="s">
        <v>35</v>
      </c>
      <c r="E8" s="1">
        <v>15</v>
      </c>
      <c r="F8" s="1" t="s">
        <v>49</v>
      </c>
    </row>
    <row r="9" spans="1:6" x14ac:dyDescent="0.2">
      <c r="A9" s="1" t="s">
        <v>46</v>
      </c>
      <c r="B9" s="1" t="s">
        <v>37</v>
      </c>
      <c r="C9" s="1" t="s">
        <v>50</v>
      </c>
      <c r="D9" s="1" t="s">
        <v>51</v>
      </c>
      <c r="E9" s="1">
        <v>4</v>
      </c>
      <c r="F9" s="1" t="s">
        <v>52</v>
      </c>
    </row>
    <row r="10" spans="1:6" x14ac:dyDescent="0.2">
      <c r="A10" s="1" t="s">
        <v>46</v>
      </c>
      <c r="B10" s="1" t="s">
        <v>37</v>
      </c>
      <c r="C10" s="1" t="s">
        <v>53</v>
      </c>
      <c r="D10" s="1" t="s">
        <v>39</v>
      </c>
      <c r="E10" s="1">
        <v>6</v>
      </c>
      <c r="F10" s="1" t="s">
        <v>54</v>
      </c>
    </row>
    <row r="11" spans="1:6" x14ac:dyDescent="0.2">
      <c r="A11" s="1" t="s">
        <v>46</v>
      </c>
      <c r="B11" s="1" t="s">
        <v>37</v>
      </c>
      <c r="C11" s="1" t="s">
        <v>55</v>
      </c>
      <c r="D11" s="1" t="s">
        <v>56</v>
      </c>
      <c r="E11" s="1">
        <v>10</v>
      </c>
      <c r="F11" s="1" t="s">
        <v>57</v>
      </c>
    </row>
    <row r="12" spans="1:6" x14ac:dyDescent="0.2">
      <c r="A12" s="1" t="s">
        <v>46</v>
      </c>
      <c r="B12" s="1" t="s">
        <v>37</v>
      </c>
      <c r="C12" s="1" t="s">
        <v>58</v>
      </c>
      <c r="D12" s="1" t="s">
        <v>35</v>
      </c>
      <c r="E12" s="1">
        <v>15</v>
      </c>
      <c r="F12" s="1" t="s">
        <v>49</v>
      </c>
    </row>
    <row r="13" spans="1:6" x14ac:dyDescent="0.2">
      <c r="A13" s="1" t="s">
        <v>46</v>
      </c>
      <c r="B13" s="1" t="s">
        <v>37</v>
      </c>
      <c r="C13" s="1" t="s">
        <v>59</v>
      </c>
      <c r="D13" s="1" t="s">
        <v>60</v>
      </c>
      <c r="E13" s="1">
        <v>25</v>
      </c>
      <c r="F13" s="1" t="s">
        <v>61</v>
      </c>
    </row>
    <row r="16" spans="1:6" x14ac:dyDescent="0.2">
      <c r="A16" t="s">
        <v>64</v>
      </c>
      <c r="B16" t="s">
        <v>65</v>
      </c>
      <c r="C16" t="s">
        <v>66</v>
      </c>
    </row>
    <row r="17" spans="1:3" x14ac:dyDescent="0.2">
      <c r="A17" t="s">
        <v>4</v>
      </c>
      <c r="B17" t="s">
        <v>68</v>
      </c>
      <c r="C17">
        <v>3</v>
      </c>
    </row>
    <row r="18" spans="1:3" x14ac:dyDescent="0.2">
      <c r="A18" t="s">
        <v>4</v>
      </c>
      <c r="B18" t="s">
        <v>69</v>
      </c>
      <c r="C18">
        <v>2</v>
      </c>
    </row>
    <row r="19" spans="1:3" x14ac:dyDescent="0.2">
      <c r="A19" t="s">
        <v>4</v>
      </c>
      <c r="B19" t="s">
        <v>70</v>
      </c>
      <c r="C19">
        <v>7</v>
      </c>
    </row>
    <row r="20" spans="1:3" x14ac:dyDescent="0.2">
      <c r="A20" t="s">
        <v>4</v>
      </c>
      <c r="B20" t="s">
        <v>71</v>
      </c>
      <c r="C20">
        <v>4</v>
      </c>
    </row>
    <row r="21" spans="1:3" x14ac:dyDescent="0.2">
      <c r="A21" t="s">
        <v>4</v>
      </c>
      <c r="B21" t="s">
        <v>72</v>
      </c>
      <c r="C21">
        <v>5</v>
      </c>
    </row>
    <row r="22" spans="1:3" x14ac:dyDescent="0.2">
      <c r="A22" t="s">
        <v>67</v>
      </c>
      <c r="B22" t="s">
        <v>73</v>
      </c>
      <c r="C22">
        <v>15</v>
      </c>
    </row>
    <row r="23" spans="1:3" x14ac:dyDescent="0.2">
      <c r="A23" t="s">
        <v>67</v>
      </c>
      <c r="B23" t="s">
        <v>74</v>
      </c>
      <c r="C23">
        <v>4</v>
      </c>
    </row>
    <row r="24" spans="1:3" x14ac:dyDescent="0.2">
      <c r="A24" t="s">
        <v>67</v>
      </c>
      <c r="B24" t="s">
        <v>75</v>
      </c>
      <c r="C24">
        <v>6</v>
      </c>
    </row>
    <row r="25" spans="1:3" x14ac:dyDescent="0.2">
      <c r="A25" t="s">
        <v>67</v>
      </c>
      <c r="B25" t="s">
        <v>76</v>
      </c>
      <c r="C25">
        <v>10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B2D0-98B6-B74B-86CD-AF765D089C8A}">
  <dimension ref="A1:G14"/>
  <sheetViews>
    <sheetView topLeftCell="A5" zoomScale="182" workbookViewId="0">
      <selection activeCell="D12" sqref="D12"/>
    </sheetView>
  </sheetViews>
  <sheetFormatPr baseColWidth="10" defaultRowHeight="16" x14ac:dyDescent="0.2"/>
  <cols>
    <col min="1" max="1" width="24.6640625" customWidth="1"/>
    <col min="2" max="2" width="20.6640625" bestFit="1" customWidth="1"/>
    <col min="3" max="3" width="20.5" customWidth="1"/>
    <col min="4" max="4" width="14.33203125" bestFit="1" customWidth="1"/>
  </cols>
  <sheetData>
    <row r="1" spans="1:7" x14ac:dyDescent="0.2">
      <c r="A1" s="4" t="s">
        <v>77</v>
      </c>
      <c r="B1" s="4" t="s">
        <v>78</v>
      </c>
      <c r="C1" s="4" t="s">
        <v>79</v>
      </c>
      <c r="D1" s="4" t="s">
        <v>80</v>
      </c>
    </row>
    <row r="2" spans="1:7" x14ac:dyDescent="0.2">
      <c r="A2" s="5" t="s">
        <v>81</v>
      </c>
      <c r="B2" s="5">
        <v>23</v>
      </c>
      <c r="C2" s="6">
        <f>B2/$B$7*100</f>
        <v>38.983050847457626</v>
      </c>
      <c r="D2" s="6">
        <f>C2</f>
        <v>38.983050847457626</v>
      </c>
    </row>
    <row r="3" spans="1:7" x14ac:dyDescent="0.2">
      <c r="A3" s="5" t="s">
        <v>82</v>
      </c>
      <c r="B3" s="5">
        <v>16</v>
      </c>
      <c r="C3" s="6">
        <f t="shared" ref="C3:C6" si="0">B3/$B$7*100</f>
        <v>27.118644067796609</v>
      </c>
      <c r="D3" s="6">
        <f>D2+C3</f>
        <v>66.101694915254228</v>
      </c>
    </row>
    <row r="4" spans="1:7" x14ac:dyDescent="0.2">
      <c r="A4" s="5" t="s">
        <v>83</v>
      </c>
      <c r="B4" s="5">
        <v>10</v>
      </c>
      <c r="C4" s="6">
        <f>B4/$B$7*100</f>
        <v>16.949152542372879</v>
      </c>
      <c r="D4" s="6">
        <f>D3+C4</f>
        <v>83.0508474576271</v>
      </c>
    </row>
    <row r="5" spans="1:7" x14ac:dyDescent="0.2">
      <c r="A5" s="5" t="s">
        <v>84</v>
      </c>
      <c r="B5" s="5">
        <v>7</v>
      </c>
      <c r="C5" s="6">
        <f t="shared" si="0"/>
        <v>11.864406779661017</v>
      </c>
      <c r="D5" s="6">
        <f>C5+D4</f>
        <v>94.91525423728811</v>
      </c>
    </row>
    <row r="6" spans="1:7" x14ac:dyDescent="0.2">
      <c r="A6" s="5" t="s">
        <v>85</v>
      </c>
      <c r="B6" s="5">
        <v>3</v>
      </c>
      <c r="C6" s="6">
        <f t="shared" si="0"/>
        <v>5.0847457627118651</v>
      </c>
      <c r="D6" s="6">
        <f>D5+C6</f>
        <v>99.999999999999972</v>
      </c>
      <c r="G6" t="s">
        <v>88</v>
      </c>
    </row>
    <row r="7" spans="1:7" x14ac:dyDescent="0.2">
      <c r="A7" s="5" t="s">
        <v>86</v>
      </c>
      <c r="B7" s="5">
        <v>59</v>
      </c>
      <c r="C7" s="5" t="s">
        <v>87</v>
      </c>
      <c r="D7" s="5" t="s">
        <v>87</v>
      </c>
    </row>
    <row r="8" spans="1:7" x14ac:dyDescent="0.2">
      <c r="G8" t="s">
        <v>89</v>
      </c>
    </row>
    <row r="10" spans="1:7" x14ac:dyDescent="0.2">
      <c r="A10" s="5" t="s">
        <v>81</v>
      </c>
      <c r="B10" s="7">
        <v>38.983050847457626</v>
      </c>
      <c r="G10" s="8" t="s">
        <v>90</v>
      </c>
    </row>
    <row r="11" spans="1:7" x14ac:dyDescent="0.2">
      <c r="A11" s="5" t="s">
        <v>82</v>
      </c>
      <c r="B11" s="7">
        <v>66.101694915254228</v>
      </c>
    </row>
    <row r="12" spans="1:7" x14ac:dyDescent="0.2">
      <c r="A12" s="5" t="s">
        <v>83</v>
      </c>
      <c r="B12" s="7">
        <v>83.0508474576271</v>
      </c>
    </row>
    <row r="13" spans="1:7" x14ac:dyDescent="0.2">
      <c r="A13" s="5" t="s">
        <v>84</v>
      </c>
      <c r="B13" s="7">
        <v>94.91525423728811</v>
      </c>
    </row>
    <row r="14" spans="1:7" x14ac:dyDescent="0.2">
      <c r="A14" s="5" t="s">
        <v>85</v>
      </c>
      <c r="B14" s="7">
        <v>99.999999999999972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DB29D-BB3C-6F48-B56D-24CA2A94EB4A}">
  <dimension ref="A1:G28"/>
  <sheetViews>
    <sheetView zoomScale="230" workbookViewId="0">
      <selection activeCell="C6" sqref="C6"/>
    </sheetView>
  </sheetViews>
  <sheetFormatPr baseColWidth="10" defaultRowHeight="16" x14ac:dyDescent="0.2"/>
  <sheetData>
    <row r="1" spans="1:7" x14ac:dyDescent="0.2">
      <c r="A1" s="1" t="s">
        <v>91</v>
      </c>
      <c r="B1" s="10" t="s">
        <v>92</v>
      </c>
      <c r="C1" s="10" t="s">
        <v>93</v>
      </c>
      <c r="D1" s="10" t="s">
        <v>94</v>
      </c>
      <c r="E1" s="10" t="s">
        <v>95</v>
      </c>
      <c r="F1" s="10" t="s">
        <v>96</v>
      </c>
      <c r="G1" s="10" t="s">
        <v>97</v>
      </c>
    </row>
    <row r="2" spans="1:7" x14ac:dyDescent="0.2">
      <c r="A2" s="9" t="s">
        <v>98</v>
      </c>
      <c r="B2" s="1">
        <v>36</v>
      </c>
      <c r="C2" s="1">
        <v>49</v>
      </c>
      <c r="D2" s="1">
        <v>20</v>
      </c>
      <c r="E2" s="1">
        <v>65</v>
      </c>
      <c r="F2" s="1">
        <v>65</v>
      </c>
      <c r="G2" s="1">
        <v>45</v>
      </c>
    </row>
    <row r="3" spans="1:7" x14ac:dyDescent="0.2">
      <c r="A3" s="9" t="s">
        <v>99</v>
      </c>
      <c r="B3" s="1">
        <v>39</v>
      </c>
      <c r="C3" s="1">
        <v>52</v>
      </c>
      <c r="D3" s="1">
        <v>43</v>
      </c>
      <c r="E3" s="1">
        <v>60</v>
      </c>
      <c r="F3" s="1">
        <v>50</v>
      </c>
      <c r="G3" s="1">
        <v>65</v>
      </c>
    </row>
    <row r="4" spans="1:7" x14ac:dyDescent="0.2">
      <c r="A4" s="9" t="s">
        <v>100</v>
      </c>
      <c r="B4" s="1">
        <v>44</v>
      </c>
      <c r="C4" s="1">
        <v>48</v>
      </c>
      <c r="D4" s="1">
        <v>65</v>
      </c>
      <c r="E4" s="1">
        <v>50</v>
      </c>
      <c r="F4" s="1">
        <v>64</v>
      </c>
      <c r="G4" s="1">
        <v>43</v>
      </c>
    </row>
    <row r="26" spans="2:2" x14ac:dyDescent="0.2">
      <c r="B26" t="s">
        <v>101</v>
      </c>
    </row>
    <row r="28" spans="2:2" x14ac:dyDescent="0.2">
      <c r="B28" t="s">
        <v>102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9885-5E87-944F-AC4A-ADCCE20B32CF}">
  <dimension ref="A1:B8"/>
  <sheetViews>
    <sheetView zoomScale="214" workbookViewId="0">
      <selection activeCell="B6" sqref="B6"/>
    </sheetView>
  </sheetViews>
  <sheetFormatPr baseColWidth="10" defaultRowHeight="16" x14ac:dyDescent="0.2"/>
  <cols>
    <col min="1" max="1" width="22.6640625" bestFit="1" customWidth="1"/>
  </cols>
  <sheetData>
    <row r="1" spans="1:2" x14ac:dyDescent="0.2">
      <c r="A1" s="1" t="s">
        <v>103</v>
      </c>
      <c r="B1" s="11">
        <v>23201</v>
      </c>
    </row>
    <row r="2" spans="1:2" x14ac:dyDescent="0.2">
      <c r="A2" s="1" t="s">
        <v>104</v>
      </c>
      <c r="B2" s="11">
        <v>-8273</v>
      </c>
    </row>
    <row r="3" spans="1:2" x14ac:dyDescent="0.2">
      <c r="A3" s="1" t="s">
        <v>105</v>
      </c>
      <c r="B3" s="11">
        <v>14928</v>
      </c>
    </row>
    <row r="4" spans="1:2" x14ac:dyDescent="0.2">
      <c r="A4" s="1" t="s">
        <v>106</v>
      </c>
      <c r="B4" s="11">
        <v>-1151</v>
      </c>
    </row>
    <row r="5" spans="1:2" x14ac:dyDescent="0.2">
      <c r="A5" s="1" t="s">
        <v>107</v>
      </c>
      <c r="B5" s="11">
        <v>13777</v>
      </c>
    </row>
    <row r="8" spans="1:2" x14ac:dyDescent="0.2">
      <c r="A8" s="1" t="s">
        <v>108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8B12-57AB-1D48-ACAD-49C77ED63167}">
  <dimension ref="A1:M8"/>
  <sheetViews>
    <sheetView zoomScale="340" workbookViewId="0">
      <selection activeCell="B9" sqref="B9"/>
    </sheetView>
  </sheetViews>
  <sheetFormatPr baseColWidth="10" defaultRowHeight="16" x14ac:dyDescent="0.2"/>
  <cols>
    <col min="1" max="1" width="17.6640625" bestFit="1" customWidth="1"/>
  </cols>
  <sheetData>
    <row r="1" spans="1:13" x14ac:dyDescent="0.2">
      <c r="A1" s="2"/>
      <c r="B1" s="12" t="s">
        <v>6</v>
      </c>
      <c r="C1" s="12" t="s">
        <v>7</v>
      </c>
      <c r="D1" s="12" t="s">
        <v>12</v>
      </c>
      <c r="E1" s="12" t="s">
        <v>14</v>
      </c>
      <c r="F1" s="12" t="s">
        <v>15</v>
      </c>
      <c r="G1" s="12" t="s">
        <v>16</v>
      </c>
      <c r="H1" s="12" t="s">
        <v>109</v>
      </c>
      <c r="I1" s="12" t="s">
        <v>19</v>
      </c>
      <c r="J1" s="12" t="s">
        <v>20</v>
      </c>
      <c r="K1" s="12" t="s">
        <v>22</v>
      </c>
      <c r="L1" s="12" t="s">
        <v>23</v>
      </c>
      <c r="M1" s="12" t="s">
        <v>24</v>
      </c>
    </row>
    <row r="2" spans="1:13" x14ac:dyDescent="0.2">
      <c r="A2" s="12" t="s">
        <v>110</v>
      </c>
      <c r="B2" s="13">
        <v>982</v>
      </c>
      <c r="C2" s="13">
        <v>691</v>
      </c>
      <c r="D2" s="13">
        <v>776</v>
      </c>
      <c r="E2" s="13">
        <v>753</v>
      </c>
      <c r="F2" s="13">
        <v>746</v>
      </c>
      <c r="G2" s="13">
        <v>933</v>
      </c>
      <c r="H2" s="13">
        <v>856</v>
      </c>
      <c r="I2" s="13">
        <v>1031</v>
      </c>
      <c r="J2" s="13">
        <v>733</v>
      </c>
      <c r="K2" s="13">
        <v>797</v>
      </c>
      <c r="L2" s="13">
        <v>645</v>
      </c>
      <c r="M2" s="13">
        <v>663</v>
      </c>
    </row>
    <row r="3" spans="1:13" x14ac:dyDescent="0.2">
      <c r="A3" s="12" t="s">
        <v>111</v>
      </c>
      <c r="B3" s="13">
        <v>191</v>
      </c>
      <c r="C3" s="13">
        <v>116</v>
      </c>
      <c r="D3" s="13">
        <v>114</v>
      </c>
      <c r="E3" s="13">
        <v>139</v>
      </c>
      <c r="F3" s="13">
        <v>119</v>
      </c>
      <c r="G3" s="13">
        <v>161</v>
      </c>
      <c r="H3" s="13">
        <v>117</v>
      </c>
      <c r="I3" s="13">
        <v>172</v>
      </c>
      <c r="J3" s="13">
        <v>111</v>
      </c>
      <c r="K3" s="13">
        <v>95</v>
      </c>
      <c r="L3" s="13">
        <v>75</v>
      </c>
      <c r="M3" s="13">
        <v>74</v>
      </c>
    </row>
    <row r="4" spans="1:13" x14ac:dyDescent="0.2">
      <c r="A4" s="12" t="s">
        <v>112</v>
      </c>
      <c r="B4" s="13">
        <v>869</v>
      </c>
      <c r="C4" s="13">
        <v>620</v>
      </c>
      <c r="D4" s="13">
        <v>717</v>
      </c>
      <c r="E4" s="13">
        <v>653</v>
      </c>
      <c r="F4" s="13">
        <v>662</v>
      </c>
      <c r="G4" s="13">
        <v>806</v>
      </c>
      <c r="H4" s="13">
        <v>781</v>
      </c>
      <c r="I4" s="13">
        <v>965</v>
      </c>
      <c r="J4" s="13">
        <v>730</v>
      </c>
      <c r="K4" s="13">
        <v>655</v>
      </c>
      <c r="L4" s="13">
        <v>507</v>
      </c>
      <c r="M4" s="13">
        <v>530</v>
      </c>
    </row>
    <row r="5" spans="1:13" x14ac:dyDescent="0.2">
      <c r="A5" s="12" t="s">
        <v>113</v>
      </c>
      <c r="B5" s="13">
        <v>236</v>
      </c>
      <c r="C5" s="13">
        <v>165</v>
      </c>
      <c r="D5" s="13">
        <v>217</v>
      </c>
      <c r="E5" s="13">
        <v>146</v>
      </c>
      <c r="F5" s="13">
        <v>159</v>
      </c>
      <c r="G5" s="13">
        <v>205</v>
      </c>
      <c r="H5" s="13">
        <v>184</v>
      </c>
      <c r="I5" s="13">
        <v>234</v>
      </c>
      <c r="J5" s="13">
        <v>137</v>
      </c>
      <c r="K5" s="13">
        <v>124</v>
      </c>
      <c r="L5" s="13">
        <v>99</v>
      </c>
      <c r="M5" s="13">
        <v>103</v>
      </c>
    </row>
    <row r="6" spans="1:13" x14ac:dyDescent="0.2">
      <c r="A6" s="12" t="s">
        <v>114</v>
      </c>
      <c r="B6" s="13">
        <v>522</v>
      </c>
      <c r="C6" s="13">
        <v>590</v>
      </c>
      <c r="D6" s="13">
        <v>727</v>
      </c>
      <c r="E6" s="13">
        <v>515</v>
      </c>
      <c r="F6" s="13">
        <v>616</v>
      </c>
      <c r="G6" s="13">
        <v>711</v>
      </c>
      <c r="H6" s="13">
        <v>543</v>
      </c>
      <c r="I6" s="13">
        <v>671</v>
      </c>
      <c r="J6" s="13">
        <v>589</v>
      </c>
      <c r="K6" s="13">
        <v>522</v>
      </c>
      <c r="L6" s="13">
        <v>381</v>
      </c>
      <c r="M6" s="13">
        <v>396</v>
      </c>
    </row>
    <row r="7" spans="1:13" x14ac:dyDescent="0.2">
      <c r="A7" s="12" t="s">
        <v>115</v>
      </c>
      <c r="B7" s="13">
        <v>145</v>
      </c>
      <c r="C7" s="13">
        <v>175</v>
      </c>
      <c r="D7" s="13">
        <v>196</v>
      </c>
      <c r="E7" s="13">
        <v>167</v>
      </c>
      <c r="F7" s="13">
        <v>183</v>
      </c>
      <c r="G7" s="13">
        <v>228</v>
      </c>
      <c r="H7" s="13">
        <v>184</v>
      </c>
      <c r="I7" s="13">
        <v>242</v>
      </c>
      <c r="J7" s="13">
        <v>157</v>
      </c>
      <c r="K7" s="13">
        <v>140</v>
      </c>
      <c r="L7" s="13">
        <v>93</v>
      </c>
      <c r="M7" s="13">
        <v>104</v>
      </c>
    </row>
    <row r="8" spans="1:13" x14ac:dyDescent="0.2">
      <c r="A8" s="12" t="s">
        <v>86</v>
      </c>
      <c r="B8" s="12">
        <v>2945</v>
      </c>
      <c r="C8" s="12">
        <v>2357</v>
      </c>
      <c r="D8" s="12">
        <v>2747</v>
      </c>
      <c r="E8" s="12">
        <v>2373</v>
      </c>
      <c r="F8" s="12">
        <v>2485</v>
      </c>
      <c r="G8" s="12">
        <v>3044</v>
      </c>
      <c r="H8" s="12">
        <v>2665</v>
      </c>
      <c r="I8" s="12">
        <v>3315</v>
      </c>
      <c r="J8" s="12">
        <v>2457</v>
      </c>
      <c r="K8" s="12">
        <v>2333</v>
      </c>
      <c r="L8" s="12">
        <v>1800</v>
      </c>
      <c r="M8" s="12">
        <v>1870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77EA23AE-13A3-B042-9D16-1CB1E83C06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Sheet6!B2:M2</xm:f>
              <xm:sqref>O2</xm:sqref>
            </x14:sparkline>
            <x14:sparkline>
              <xm:f>Sheet6!B3:M3</xm:f>
              <xm:sqref>O3</xm:sqref>
            </x14:sparkline>
            <x14:sparkline>
              <xm:f>Sheet6!B4:M4</xm:f>
              <xm:sqref>O4</xm:sqref>
            </x14:sparkline>
            <x14:sparkline>
              <xm:f>Sheet6!B5:M5</xm:f>
              <xm:sqref>O5</xm:sqref>
            </x14:sparkline>
            <x14:sparkline>
              <xm:f>Sheet6!B6:M6</xm:f>
              <xm:sqref>O6</xm:sqref>
            </x14:sparkline>
            <x14:sparkline>
              <xm:f>Sheet6!B7:M7</xm:f>
              <xm:sqref>O7</xm:sqref>
            </x14:sparkline>
            <x14:sparkline>
              <xm:f>Sheet6!B8:M8</xm:f>
              <xm:sqref>O8</xm:sqref>
            </x14:sparkline>
          </x14:sparklines>
        </x14:sparklineGroup>
        <x14:sparklineGroup displayEmptyCellsAs="gap" xr2:uid="{94D2FA2F-27A9-E341-8480-BBCEBA9C856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Sheet6!B2:M2</xm:f>
              <xm:sqref>N2</xm:sqref>
            </x14:sparkline>
            <x14:sparkline>
              <xm:f>Sheet6!B3:M3</xm:f>
              <xm:sqref>N3</xm:sqref>
            </x14:sparkline>
            <x14:sparkline>
              <xm:f>Sheet6!B4:M4</xm:f>
              <xm:sqref>N4</xm:sqref>
            </x14:sparkline>
            <x14:sparkline>
              <xm:f>Sheet6!B5:M5</xm:f>
              <xm:sqref>N5</xm:sqref>
            </x14:sparkline>
            <x14:sparkline>
              <xm:f>Sheet6!B6:M6</xm:f>
              <xm:sqref>N6</xm:sqref>
            </x14:sparkline>
            <x14:sparkline>
              <xm:f>Sheet6!B7:M7</xm:f>
              <xm:sqref>N7</xm:sqref>
            </x14:sparkline>
            <x14:sparkline>
              <xm:f>Sheet6!B8:M8</xm:f>
              <xm:sqref>N8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D6E8-54A2-3B4E-8EC9-070FF8E3FF46}">
  <dimension ref="A2:F21"/>
  <sheetViews>
    <sheetView tabSelected="1" topLeftCell="B12" zoomScale="281" workbookViewId="0">
      <selection activeCell="C20" sqref="C20"/>
    </sheetView>
  </sheetViews>
  <sheetFormatPr baseColWidth="10" defaultRowHeight="16" x14ac:dyDescent="0.2"/>
  <sheetData>
    <row r="2" spans="1:5" x14ac:dyDescent="0.2">
      <c r="B2" t="s">
        <v>119</v>
      </c>
      <c r="C2" t="s">
        <v>120</v>
      </c>
    </row>
    <row r="3" spans="1:5" x14ac:dyDescent="0.2">
      <c r="B3" t="s">
        <v>121</v>
      </c>
      <c r="C3" t="s">
        <v>122</v>
      </c>
    </row>
    <row r="4" spans="1:5" x14ac:dyDescent="0.2">
      <c r="C4" s="14" t="s">
        <v>116</v>
      </c>
    </row>
    <row r="6" spans="1:5" x14ac:dyDescent="0.2">
      <c r="A6" t="s">
        <v>118</v>
      </c>
      <c r="E6" s="15" t="s">
        <v>117</v>
      </c>
    </row>
    <row r="9" spans="1:5" x14ac:dyDescent="0.2">
      <c r="C9" t="str" cm="1">
        <f t="array" aca="1" ref="C9:D9" ca="1">OFFSET(C4,-2,-1,1,2)</f>
        <v>Offset updated</v>
      </c>
      <c r="D9" t="str">
        <f ca="1"/>
        <v>extran2</v>
      </c>
    </row>
    <row r="14" spans="1:5" x14ac:dyDescent="0.2">
      <c r="C14" t="s">
        <v>123</v>
      </c>
    </row>
    <row r="17" spans="3:6" x14ac:dyDescent="0.2">
      <c r="E17" t="s">
        <v>124</v>
      </c>
      <c r="F17">
        <v>2</v>
      </c>
    </row>
    <row r="18" spans="3:6" x14ac:dyDescent="0.2">
      <c r="E18">
        <v>5</v>
      </c>
      <c r="F18">
        <v>3</v>
      </c>
    </row>
    <row r="19" spans="3:6" x14ac:dyDescent="0.2">
      <c r="C19" t="str" cm="1">
        <f t="array" aca="1" ref="C19:C21" ca="1">OFFSET(C14,3,2,3,1)</f>
        <v>END Q</v>
      </c>
      <c r="E19">
        <v>6</v>
      </c>
      <c r="F19">
        <v>7</v>
      </c>
    </row>
    <row r="20" spans="3:6" x14ac:dyDescent="0.2">
      <c r="C20">
        <f ca="1"/>
        <v>5</v>
      </c>
    </row>
    <row r="21" spans="3:6" x14ac:dyDescent="0.2">
      <c r="C21">
        <f ca="1"/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sunburst</vt:lpstr>
      <vt:lpstr>Treemap</vt:lpstr>
      <vt:lpstr>pareto</vt:lpstr>
      <vt:lpstr>radar</vt:lpstr>
      <vt:lpstr>waterfall chart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2025-12-09T15:38:39Z</dcterms:created>
  <dcterms:modified xsi:type="dcterms:W3CDTF">2025-12-09T17:31:29Z</dcterms:modified>
</cp:coreProperties>
</file>