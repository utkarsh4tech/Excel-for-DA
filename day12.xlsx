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1399A6F2-13AC-5B40-B512-1467497E0317}" xr6:coauthVersionLast="47" xr6:coauthVersionMax="47" xr10:uidLastSave="{00000000-0000-0000-0000-000000000000}"/>
  <bookViews>
    <workbookView xWindow="0" yWindow="600" windowWidth="28800" windowHeight="17400" activeTab="1" xr2:uid="{A22C864B-9052-8646-8AEC-5130B074B07B}"/>
  </bookViews>
  <sheets>
    <sheet name="AGENDA" sheetId="1" r:id="rId1"/>
    <sheet name="Sheet2" sheetId="2" r:id="rId2"/>
    <sheet name="Sheet3" sheetId="3" r:id="rId3"/>
    <sheet name="Sheet4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2" l="1"/>
</calcChain>
</file>

<file path=xl/sharedStrings.xml><?xml version="1.0" encoding="utf-8"?>
<sst xmlns="http://schemas.openxmlformats.org/spreadsheetml/2006/main" count="141" uniqueCount="96">
  <si>
    <t>DATA VALIDATION??</t>
  </si>
  <si>
    <t>NAME</t>
  </si>
  <si>
    <t>ADHAAR</t>
  </si>
  <si>
    <t>Phn Num</t>
  </si>
  <si>
    <t>AGE</t>
  </si>
  <si>
    <t>utkarsh</t>
  </si>
  <si>
    <t>AGE(18+)</t>
  </si>
  <si>
    <t>Edu Qual</t>
  </si>
  <si>
    <t>UG</t>
  </si>
  <si>
    <t>PG</t>
  </si>
  <si>
    <t>Phd</t>
  </si>
  <si>
    <t xml:space="preserve">Country </t>
  </si>
  <si>
    <t>City</t>
  </si>
  <si>
    <t>Column1</t>
  </si>
  <si>
    <t>level</t>
  </si>
  <si>
    <t>opt_education</t>
  </si>
  <si>
    <t>Post_doc</t>
  </si>
  <si>
    <t>illiterate</t>
  </si>
  <si>
    <t>Subjects</t>
  </si>
  <si>
    <t>Maths 1</t>
  </si>
  <si>
    <t>Stats 1</t>
  </si>
  <si>
    <t>Stats 2</t>
  </si>
  <si>
    <t>English</t>
  </si>
  <si>
    <t>French</t>
  </si>
  <si>
    <t>Maths 2</t>
  </si>
  <si>
    <t>Subject</t>
  </si>
  <si>
    <t>German</t>
  </si>
  <si>
    <t>New_opt</t>
  </si>
  <si>
    <t>Countries</t>
  </si>
  <si>
    <t>India</t>
  </si>
  <si>
    <t>China</t>
  </si>
  <si>
    <t>Japan</t>
  </si>
  <si>
    <t>France</t>
  </si>
  <si>
    <t>Germany</t>
  </si>
  <si>
    <t>China City 1</t>
  </si>
  <si>
    <t>China City 2</t>
  </si>
  <si>
    <t>Column2</t>
  </si>
  <si>
    <t>China City 3</t>
  </si>
  <si>
    <t>Column3</t>
  </si>
  <si>
    <t>France City 1</t>
  </si>
  <si>
    <t>Germany City 1</t>
  </si>
  <si>
    <t>Germany City 2</t>
  </si>
  <si>
    <t>Germany City 3</t>
  </si>
  <si>
    <t>India City 1</t>
  </si>
  <si>
    <t>India City 2</t>
  </si>
  <si>
    <t>Japan City 1</t>
  </si>
  <si>
    <t>Japan City 2</t>
  </si>
  <si>
    <t>Country</t>
  </si>
  <si>
    <t>As long as CUSTOM formula gives true and false in return ( 1 or 0)</t>
  </si>
  <si>
    <t>Region</t>
  </si>
  <si>
    <t>Revenue</t>
  </si>
  <si>
    <t>Asia</t>
  </si>
  <si>
    <t>Bangladesh</t>
  </si>
  <si>
    <t>Cambodia</t>
  </si>
  <si>
    <t>Central America and the Caribbean</t>
  </si>
  <si>
    <t>Saint Lucia</t>
  </si>
  <si>
    <t>Trinidad and Tobago</t>
  </si>
  <si>
    <t>Europe</t>
  </si>
  <si>
    <t>Albania</t>
  </si>
  <si>
    <t>Andorra</t>
  </si>
  <si>
    <t>Bosnia and Herzegovina</t>
  </si>
  <si>
    <t>Bulgaria</t>
  </si>
  <si>
    <t xml:space="preserve">Moldova </t>
  </si>
  <si>
    <t>Montenegro</t>
  </si>
  <si>
    <t>Poland</t>
  </si>
  <si>
    <t>Russia</t>
  </si>
  <si>
    <t>San Marino</t>
  </si>
  <si>
    <t>Serbia</t>
  </si>
  <si>
    <t>Slovenia</t>
  </si>
  <si>
    <t>Spain</t>
  </si>
  <si>
    <t>Switzerland</t>
  </si>
  <si>
    <t>Ukraine</t>
  </si>
  <si>
    <t>Vatican City</t>
  </si>
  <si>
    <t>Middle East and North Africa</t>
  </si>
  <si>
    <t>Algeria</t>
  </si>
  <si>
    <t>Azerbaijan</t>
  </si>
  <si>
    <t>Lebanon</t>
  </si>
  <si>
    <t>Oman</t>
  </si>
  <si>
    <t>Pakistan</t>
  </si>
  <si>
    <t>Somalia</t>
  </si>
  <si>
    <t>Turkey</t>
  </si>
  <si>
    <t>Sub-Saharan Africa</t>
  </si>
  <si>
    <t xml:space="preserve">Mauritius </t>
  </si>
  <si>
    <t>Senegal</t>
  </si>
  <si>
    <t xml:space="preserve">Seychelles </t>
  </si>
  <si>
    <t>South Africa</t>
  </si>
  <si>
    <t>Name</t>
  </si>
  <si>
    <t>Clg</t>
  </si>
  <si>
    <t>Ram</t>
  </si>
  <si>
    <t>clg 1</t>
  </si>
  <si>
    <t xml:space="preserve">Shyam </t>
  </si>
  <si>
    <t>clg 2</t>
  </si>
  <si>
    <t>Radha</t>
  </si>
  <si>
    <t>clg 3</t>
  </si>
  <si>
    <t>Switzerland City 1</t>
  </si>
  <si>
    <t>Country 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</si>
</sst>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₹&quot;* #,##0.00_);_(&quot;₹&quot;* \(#,##0.00\);_(&quot;₹&quot;* &quot;-&quot;??_);_(@_)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2" fontId="0" fillId="0" borderId="0" xfId="0" applyNumberFormat="1"/>
    <xf numFmtId="1" fontId="0" fillId="0" borderId="0" xfId="0" applyNumberFormat="1"/>
    <xf numFmtId="0" fontId="3" fillId="0" borderId="1" xfId="0" applyFont="1" applyBorder="1" applyAlignment="1">
      <alignment horizontal="center"/>
    </xf>
    <xf numFmtId="0" fontId="0" fillId="0" borderId="1" xfId="0" applyBorder="1"/>
    <xf numFmtId="44" fontId="0" fillId="0" borderId="1" xfId="1" applyFont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275422</xdr:colOff>
      <xdr:row>21</xdr:row>
      <xdr:rowOff>25503</xdr:rowOff>
    </xdr:from>
    <xdr:to>
      <xdr:col>6</xdr:col>
      <xdr:colOff>474541</xdr:colOff>
      <xdr:row>38</xdr:row>
      <xdr:rowOff>44836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337334-3FF5-1003-DE31-5882FC62CF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1687" y="4309840"/>
          <a:ext cx="4330444" cy="348760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0DD9A4-BCF2-B546-881B-94D0C17C62C9}" name="opt_education" displayName="opt_education" ref="D5:D11" totalsRowShown="0">
  <autoFilter ref="D5:D11" xr:uid="{620DD9A4-BCF2-B546-881B-94D0C17C62C9}"/>
  <sortState xmlns:xlrd2="http://schemas.microsoft.com/office/spreadsheetml/2017/richdata2" ref="D6:D9">
    <sortCondition ref="D5:D9"/>
  </sortState>
  <tableColumns count="1">
    <tableColumn id="1" xr3:uid="{EBC2C150-1312-444F-806A-8FD20A6DEEB1}" name="leve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A3547D-D066-494B-8A7E-894C0E7C4BE5}" name="Table2" displayName="Table2" ref="F5:F13" totalsRowShown="0">
  <autoFilter ref="F5:F13" xr:uid="{2BA3547D-D066-494B-8A7E-894C0E7C4BE5}"/>
  <tableColumns count="1">
    <tableColumn id="1" xr3:uid="{E44CC416-F1E4-EC48-A406-6D89884FE5EB}" name="Subject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866BEAF-BB9E-BD48-B6E4-AD1E6270301F}" name="Table3" displayName="Table3" ref="B15:E22" totalsRowShown="0">
  <autoFilter ref="B15:E22" xr:uid="{A866BEAF-BB9E-BD48-B6E4-AD1E6270301F}"/>
  <sortState xmlns:xlrd2="http://schemas.microsoft.com/office/spreadsheetml/2017/richdata2" ref="B16:B20">
    <sortCondition ref="B15:B20"/>
  </sortState>
  <tableColumns count="4">
    <tableColumn id="1" xr3:uid="{714FC118-580D-7F43-B606-4B598B8E221B}" name="Countries"/>
    <tableColumn id="2" xr3:uid="{E77B30B7-C713-1B40-8FA1-CFE4DF04B88E}" name="Column1"/>
    <tableColumn id="3" xr3:uid="{B11B555F-50A5-024C-BD05-27E9F6FA79E3}" name="Column2"/>
    <tableColumn id="4" xr3:uid="{CA2CA477-7BC0-A341-94AE-5FC8B9E7A7A4}" name="Column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F822F-489A-3D47-851A-CBC5CBD75066}">
  <dimension ref="B7:F45"/>
  <sheetViews>
    <sheetView topLeftCell="A23" zoomScale="249" workbookViewId="0">
      <selection activeCell="E34" sqref="C27:E34"/>
    </sheetView>
  </sheetViews>
  <sheetFormatPr baseColWidth="10" defaultRowHeight="16" x14ac:dyDescent="0.2"/>
  <sheetData>
    <row r="7" spans="3:6" x14ac:dyDescent="0.2">
      <c r="C7" t="s">
        <v>0</v>
      </c>
    </row>
    <row r="9" spans="3:6" x14ac:dyDescent="0.2">
      <c r="C9" t="s">
        <v>1</v>
      </c>
      <c r="D9" t="s">
        <v>2</v>
      </c>
      <c r="E9" t="s">
        <v>3</v>
      </c>
      <c r="F9" t="s">
        <v>4</v>
      </c>
    </row>
    <row r="45" spans="2:2" x14ac:dyDescent="0.2">
      <c r="B45" t="s">
        <v>48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1385C-96D5-7F4F-A8E7-033160D17BF4}">
  <dimension ref="A4:I24"/>
  <sheetViews>
    <sheetView tabSelected="1" zoomScale="138" workbookViewId="0">
      <selection activeCell="C15" sqref="C15"/>
    </sheetView>
  </sheetViews>
  <sheetFormatPr baseColWidth="10" defaultRowHeight="16" x14ac:dyDescent="0.2"/>
  <cols>
    <col min="3" max="3" width="21" style="1" customWidth="1"/>
  </cols>
  <sheetData>
    <row r="4" spans="1:9" x14ac:dyDescent="0.2">
      <c r="E4" t="s">
        <v>15</v>
      </c>
    </row>
    <row r="5" spans="1:9" x14ac:dyDescent="0.2">
      <c r="B5" t="s">
        <v>1</v>
      </c>
      <c r="C5" s="1" t="s">
        <v>2</v>
      </c>
      <c r="D5" t="s">
        <v>3</v>
      </c>
      <c r="E5" t="s">
        <v>6</v>
      </c>
      <c r="F5" t="s">
        <v>7</v>
      </c>
      <c r="G5" t="s">
        <v>11</v>
      </c>
      <c r="H5" t="s">
        <v>12</v>
      </c>
      <c r="I5" t="s">
        <v>25</v>
      </c>
    </row>
    <row r="6" spans="1:9" x14ac:dyDescent="0.2">
      <c r="A6">
        <v>1</v>
      </c>
      <c r="C6" s="2"/>
      <c r="E6">
        <v>2</v>
      </c>
      <c r="G6" t="s">
        <v>95</v>
      </c>
      <c r="H6" t="s">
        <v>44</v>
      </c>
    </row>
    <row r="7" spans="1:9" x14ac:dyDescent="0.2">
      <c r="A7">
        <v>2</v>
      </c>
      <c r="C7" s="2">
        <v>123412341234</v>
      </c>
      <c r="G7" t="s">
        <v>30</v>
      </c>
      <c r="H7" t="s">
        <v>35</v>
      </c>
    </row>
    <row r="8" spans="1:9" x14ac:dyDescent="0.2">
      <c r="A8">
        <v>3</v>
      </c>
      <c r="C8" s="2"/>
    </row>
    <row r="9" spans="1:9" x14ac:dyDescent="0.2">
      <c r="A9">
        <v>4</v>
      </c>
      <c r="C9" s="2"/>
      <c r="G9" t="s">
        <v>31</v>
      </c>
      <c r="H9" t="s">
        <v>46</v>
      </c>
    </row>
    <row r="10" spans="1:9" x14ac:dyDescent="0.2">
      <c r="A10">
        <v>5</v>
      </c>
      <c r="C10" s="2"/>
    </row>
    <row r="11" spans="1:9" x14ac:dyDescent="0.2">
      <c r="A11">
        <v>6</v>
      </c>
      <c r="C11" s="2"/>
      <c r="G11" t="s">
        <v>33</v>
      </c>
      <c r="H11" t="s">
        <v>42</v>
      </c>
    </row>
    <row r="12" spans="1:9" x14ac:dyDescent="0.2">
      <c r="A12">
        <v>7</v>
      </c>
      <c r="B12" t="s">
        <v>5</v>
      </c>
      <c r="C12" s="2"/>
      <c r="E12">
        <v>22</v>
      </c>
    </row>
    <row r="13" spans="1:9" x14ac:dyDescent="0.2">
      <c r="A13">
        <v>8</v>
      </c>
      <c r="C13" s="2"/>
    </row>
    <row r="14" spans="1:9" x14ac:dyDescent="0.2">
      <c r="A14">
        <v>9</v>
      </c>
      <c r="C14" s="2"/>
    </row>
    <row r="15" spans="1:9" x14ac:dyDescent="0.2">
      <c r="A15">
        <v>10</v>
      </c>
      <c r="C15" s="2"/>
    </row>
    <row r="19" spans="2:6" x14ac:dyDescent="0.2">
      <c r="F19" t="str">
        <f>"=INDIRECT('opt_eduction[level]')"</f>
        <v>=INDIRECT('opt_eduction[level]')</v>
      </c>
    </row>
    <row r="23" spans="2:6" x14ac:dyDescent="0.2">
      <c r="B23" t="s">
        <v>47</v>
      </c>
      <c r="C23" s="1" t="s">
        <v>12</v>
      </c>
    </row>
    <row r="24" spans="2:6" x14ac:dyDescent="0.2">
      <c r="B24" t="s">
        <v>33</v>
      </c>
      <c r="C24" s="1" t="s">
        <v>35</v>
      </c>
    </row>
  </sheetData>
  <dataConsolidate/>
  <dataValidations count="5">
    <dataValidation type="textLength" allowBlank="1" showInputMessage="1" showErrorMessage="1" errorTitle="Only Text Allowed" error="You have entered non text data or reached the limit of 225 char" promptTitle="Please Input NAME" prompt="Please input text based name only ( no numbers allowed) , MAX char limit is 225." sqref="B6:B15" xr:uid="{4F39503E-1EA2-B14A-8F64-7B0A131B94F4}">
      <formula1>3</formula1>
      <formula2>225</formula2>
    </dataValidation>
    <dataValidation type="whole" allowBlank="1" showInputMessage="1" showErrorMessage="1" promptTitle="Adhaar" prompt="Adhaar is a 12 digit ID assigned to Indian Residents." sqref="C6:C15" xr:uid="{AC1BAC4D-D6E0-A44B-8465-FC05E70E529B}">
      <formula1>100000000000</formula1>
      <formula2>999999999999</formula2>
    </dataValidation>
    <dataValidation type="list" allowBlank="1" showInputMessage="1" showErrorMessage="1" sqref="F6:F15" xr:uid="{4DEB354D-079D-F74B-B7A2-867BCED01153}">
      <formula1>INDIRECT("opt_education[level]")</formula1>
    </dataValidation>
    <dataValidation type="custom" allowBlank="1" showInputMessage="1" showErrorMessage="1" sqref="E6:E15" xr:uid="{A473FC4A-D7D0-704A-A383-7E30E49E0AF0}">
      <formula1>FALSE</formula1>
    </dataValidation>
    <dataValidation type="list" allowBlank="1" showInputMessage="1" showErrorMessage="1" sqref="G6:G15" xr:uid="{A87FFC22-D2B6-8842-8B1B-A3DAD0D8DD47}">
      <formula1>INDIRECT("Table3[countries]")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0A1B5D1-1982-044E-BCA4-4528A83BC806}">
          <x14:formula1>
            <xm:f>Sheet3!$F$6:$F$11</xm:f>
          </x14:formula1>
          <xm:sqref>I6:I15</xm:sqref>
        </x14:dataValidation>
        <x14:dataValidation type="list" allowBlank="1" showInputMessage="1" showErrorMessage="1" xr:uid="{4FEF43F6-6A20-AE46-A02F-7C6D92539C40}">
          <x14:formula1>
            <xm:f>Sheet3!$B$16:$B$20</xm:f>
          </x14:formula1>
          <xm:sqref>B24</xm:sqref>
        </x14:dataValidation>
        <x14:dataValidation type="list" showInputMessage="1" showErrorMessage="1" xr:uid="{36D1E63B-6B55-D944-AB23-B33DE20338E0}">
          <x14:formula1>
            <xm:f>_xlfn.XLOOKUP(B24,Sheet3!$B$16:$B$20,Sheet3!$C$16:$E$20)</xm:f>
          </x14:formula1>
          <xm:sqref>C24</xm:sqref>
        </x14:dataValidation>
        <x14:dataValidation type="list" allowBlank="1" showInputMessage="1" showErrorMessage="1" xr:uid="{DA3DFF44-D450-3346-91F1-CE2028032DF0}">
          <x14:formula1>
            <xm:f>_xlfn.XLOOKUP(G6,Sheet3!$B$16:$B$20,Sheet3!$C$16:$E$20)</xm:f>
          </x14:formula1>
          <xm:sqref>H6:H15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77F85-1468-A049-9F82-A8C502CA163F}">
  <dimension ref="B4:F22"/>
  <sheetViews>
    <sheetView topLeftCell="A11" zoomScale="271" workbookViewId="0">
      <selection activeCell="B23" sqref="B23"/>
    </sheetView>
  </sheetViews>
  <sheetFormatPr baseColWidth="10" defaultRowHeight="16" x14ac:dyDescent="0.2"/>
  <sheetData>
    <row r="4" spans="2:6" x14ac:dyDescent="0.2">
      <c r="B4">
        <v>18</v>
      </c>
    </row>
    <row r="5" spans="2:6" x14ac:dyDescent="0.2">
      <c r="B5">
        <v>65</v>
      </c>
      <c r="D5" t="s">
        <v>14</v>
      </c>
      <c r="F5" t="s">
        <v>18</v>
      </c>
    </row>
    <row r="6" spans="2:6" x14ac:dyDescent="0.2">
      <c r="D6" t="s">
        <v>9</v>
      </c>
      <c r="F6" t="s">
        <v>19</v>
      </c>
    </row>
    <row r="7" spans="2:6" x14ac:dyDescent="0.2">
      <c r="D7" t="s">
        <v>10</v>
      </c>
      <c r="F7" t="s">
        <v>20</v>
      </c>
    </row>
    <row r="8" spans="2:6" x14ac:dyDescent="0.2">
      <c r="D8" t="s">
        <v>16</v>
      </c>
      <c r="F8" t="s">
        <v>21</v>
      </c>
    </row>
    <row r="9" spans="2:6" x14ac:dyDescent="0.2">
      <c r="D9" t="s">
        <v>8</v>
      </c>
      <c r="F9" t="s">
        <v>22</v>
      </c>
    </row>
    <row r="10" spans="2:6" x14ac:dyDescent="0.2">
      <c r="D10" t="s">
        <v>17</v>
      </c>
      <c r="F10" t="s">
        <v>23</v>
      </c>
    </row>
    <row r="11" spans="2:6" x14ac:dyDescent="0.2">
      <c r="D11" t="s">
        <v>27</v>
      </c>
      <c r="F11" t="s">
        <v>24</v>
      </c>
    </row>
    <row r="12" spans="2:6" x14ac:dyDescent="0.2">
      <c r="F12" t="s">
        <v>26</v>
      </c>
    </row>
    <row r="15" spans="2:6" x14ac:dyDescent="0.2">
      <c r="B15" t="s">
        <v>28</v>
      </c>
      <c r="C15" t="s">
        <v>13</v>
      </c>
      <c r="D15" t="s">
        <v>36</v>
      </c>
      <c r="E15" t="s">
        <v>38</v>
      </c>
    </row>
    <row r="16" spans="2:6" x14ac:dyDescent="0.2">
      <c r="B16" t="s">
        <v>30</v>
      </c>
      <c r="C16" t="s">
        <v>34</v>
      </c>
      <c r="D16" t="s">
        <v>35</v>
      </c>
      <c r="E16" t="s">
        <v>37</v>
      </c>
    </row>
    <row r="17" spans="2:5" x14ac:dyDescent="0.2">
      <c r="B17" t="s">
        <v>32</v>
      </c>
      <c r="C17" t="s">
        <v>39</v>
      </c>
    </row>
    <row r="18" spans="2:5" x14ac:dyDescent="0.2">
      <c r="B18" t="s">
        <v>33</v>
      </c>
      <c r="C18" t="s">
        <v>40</v>
      </c>
      <c r="D18" t="s">
        <v>41</v>
      </c>
      <c r="E18" t="s">
        <v>42</v>
      </c>
    </row>
    <row r="19" spans="2:5" x14ac:dyDescent="0.2">
      <c r="B19" t="s">
        <v>29</v>
      </c>
      <c r="C19" t="s">
        <v>43</v>
      </c>
      <c r="D19" t="s">
        <v>44</v>
      </c>
    </row>
    <row r="20" spans="2:5" x14ac:dyDescent="0.2">
      <c r="B20" t="s">
        <v>31</v>
      </c>
      <c r="C20" t="s">
        <v>45</v>
      </c>
      <c r="D20" t="s">
        <v>46</v>
      </c>
    </row>
    <row r="21" spans="2:5" x14ac:dyDescent="0.2">
      <c r="B21" t="s">
        <v>70</v>
      </c>
      <c r="C21" t="s">
        <v>94</v>
      </c>
    </row>
    <row r="22" spans="2:5" x14ac:dyDescent="0.2">
      <c r="B22" t="s">
        <v>95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37DC9-B572-7743-B821-D8A03E9C9296}">
  <dimension ref="A1:G33"/>
  <sheetViews>
    <sheetView topLeftCell="A6" zoomScale="187" workbookViewId="0">
      <selection activeCell="F11" sqref="F11:G15"/>
    </sheetView>
  </sheetViews>
  <sheetFormatPr baseColWidth="10" defaultRowHeight="16" x14ac:dyDescent="0.2"/>
  <cols>
    <col min="3" max="3" width="33.33203125" customWidth="1"/>
  </cols>
  <sheetData>
    <row r="1" spans="1:7" x14ac:dyDescent="0.2">
      <c r="A1" s="3" t="s">
        <v>49</v>
      </c>
      <c r="B1" s="3" t="s">
        <v>47</v>
      </c>
      <c r="C1" s="3" t="s">
        <v>50</v>
      </c>
    </row>
    <row r="2" spans="1:7" x14ac:dyDescent="0.2">
      <c r="A2" s="4" t="s">
        <v>51</v>
      </c>
      <c r="B2" s="4" t="s">
        <v>52</v>
      </c>
      <c r="C2" s="5">
        <v>2920025.64</v>
      </c>
    </row>
    <row r="3" spans="1:7" x14ac:dyDescent="0.2">
      <c r="A3" s="4" t="s">
        <v>57</v>
      </c>
      <c r="B3" s="4" t="s">
        <v>65</v>
      </c>
      <c r="C3" s="5">
        <v>948004</v>
      </c>
    </row>
    <row r="4" spans="1:7" x14ac:dyDescent="0.2">
      <c r="A4" s="4" t="s">
        <v>51</v>
      </c>
      <c r="B4" s="4" t="s">
        <v>53</v>
      </c>
      <c r="C4" s="5">
        <v>1003700.9</v>
      </c>
    </row>
    <row r="5" spans="1:7" x14ac:dyDescent="0.2">
      <c r="A5" s="4" t="s">
        <v>51</v>
      </c>
      <c r="B5" s="4" t="s">
        <v>30</v>
      </c>
      <c r="C5" s="5">
        <v>5134318.41</v>
      </c>
    </row>
    <row r="6" spans="1:7" x14ac:dyDescent="0.2">
      <c r="A6" s="4" t="s">
        <v>51</v>
      </c>
      <c r="B6" s="4" t="s">
        <v>29</v>
      </c>
      <c r="C6" s="5">
        <v>165647.95000000001</v>
      </c>
    </row>
    <row r="7" spans="1:7" x14ac:dyDescent="0.2">
      <c r="A7" s="4" t="s">
        <v>54</v>
      </c>
      <c r="B7" s="4" t="s">
        <v>55</v>
      </c>
      <c r="C7" s="5">
        <v>386027.4</v>
      </c>
    </row>
    <row r="8" spans="1:7" x14ac:dyDescent="0.2">
      <c r="A8" s="4" t="s">
        <v>54</v>
      </c>
      <c r="B8" s="4" t="s">
        <v>56</v>
      </c>
      <c r="C8" s="5">
        <v>866967.6</v>
      </c>
    </row>
    <row r="9" spans="1:7" x14ac:dyDescent="0.2">
      <c r="A9" s="4" t="s">
        <v>57</v>
      </c>
      <c r="B9" s="4" t="s">
        <v>58</v>
      </c>
      <c r="C9" s="5">
        <v>2178297.4500000002</v>
      </c>
    </row>
    <row r="10" spans="1:7" x14ac:dyDescent="0.2">
      <c r="A10" s="4" t="s">
        <v>57</v>
      </c>
      <c r="B10" s="4" t="s">
        <v>59</v>
      </c>
      <c r="C10" s="5">
        <v>1081944.78</v>
      </c>
    </row>
    <row r="11" spans="1:7" x14ac:dyDescent="0.2">
      <c r="A11" s="4" t="s">
        <v>57</v>
      </c>
      <c r="B11" s="4" t="s">
        <v>60</v>
      </c>
      <c r="C11" s="5">
        <v>1596431.76</v>
      </c>
      <c r="F11" t="s">
        <v>86</v>
      </c>
      <c r="G11" t="s">
        <v>87</v>
      </c>
    </row>
    <row r="12" spans="1:7" x14ac:dyDescent="0.2">
      <c r="A12" s="4" t="s">
        <v>57</v>
      </c>
      <c r="B12" s="4" t="s">
        <v>61</v>
      </c>
      <c r="C12" s="5">
        <v>436760.1</v>
      </c>
      <c r="F12" t="s">
        <v>88</v>
      </c>
      <c r="G12" t="s">
        <v>89</v>
      </c>
    </row>
    <row r="13" spans="1:7" x14ac:dyDescent="0.2">
      <c r="A13" s="4" t="s">
        <v>57</v>
      </c>
      <c r="B13" s="4" t="s">
        <v>62</v>
      </c>
      <c r="C13" s="5">
        <v>208308.48000000001</v>
      </c>
      <c r="F13" t="s">
        <v>90</v>
      </c>
      <c r="G13" t="s">
        <v>91</v>
      </c>
    </row>
    <row r="14" spans="1:7" x14ac:dyDescent="0.2">
      <c r="A14" s="4" t="s">
        <v>57</v>
      </c>
      <c r="B14" s="4" t="s">
        <v>63</v>
      </c>
      <c r="C14" s="5">
        <v>1868373.1</v>
      </c>
      <c r="F14" t="s">
        <v>92</v>
      </c>
      <c r="G14" t="s">
        <v>93</v>
      </c>
    </row>
    <row r="15" spans="1:7" x14ac:dyDescent="0.2">
      <c r="A15" s="4" t="s">
        <v>57</v>
      </c>
      <c r="B15" s="4" t="s">
        <v>64</v>
      </c>
      <c r="C15" s="5">
        <v>510337.6</v>
      </c>
    </row>
    <row r="16" spans="1:7" x14ac:dyDescent="0.2">
      <c r="A16" s="4" t="s">
        <v>57</v>
      </c>
      <c r="B16" s="4" t="s">
        <v>66</v>
      </c>
      <c r="C16" s="5">
        <v>4034918.8</v>
      </c>
    </row>
    <row r="17" spans="1:3" x14ac:dyDescent="0.2">
      <c r="A17" s="4" t="s">
        <v>57</v>
      </c>
      <c r="B17" s="4" t="s">
        <v>67</v>
      </c>
      <c r="C17" s="5">
        <v>4339077.1100000003</v>
      </c>
    </row>
    <row r="18" spans="1:3" x14ac:dyDescent="0.2">
      <c r="A18" s="4" t="s">
        <v>57</v>
      </c>
      <c r="B18" s="4" t="s">
        <v>68</v>
      </c>
      <c r="C18" s="5">
        <v>1575456.3</v>
      </c>
    </row>
    <row r="19" spans="1:3" x14ac:dyDescent="0.2">
      <c r="A19" s="4" t="s">
        <v>57</v>
      </c>
      <c r="B19" s="4" t="s">
        <v>69</v>
      </c>
      <c r="C19" s="5">
        <v>497796</v>
      </c>
    </row>
    <row r="20" spans="1:3" x14ac:dyDescent="0.2">
      <c r="A20" s="4" t="s">
        <v>57</v>
      </c>
      <c r="B20" s="4" t="s">
        <v>70</v>
      </c>
      <c r="C20" s="5">
        <v>1435439.44</v>
      </c>
    </row>
    <row r="21" spans="1:3" x14ac:dyDescent="0.2">
      <c r="A21" s="4" t="s">
        <v>57</v>
      </c>
      <c r="B21" s="4" t="s">
        <v>71</v>
      </c>
      <c r="C21" s="5">
        <v>569004.26</v>
      </c>
    </row>
    <row r="22" spans="1:3" ht="17" customHeight="1" x14ac:dyDescent="0.2">
      <c r="A22" s="4" t="s">
        <v>57</v>
      </c>
      <c r="B22" s="4" t="s">
        <v>72</v>
      </c>
      <c r="C22" s="5">
        <v>11989.05</v>
      </c>
    </row>
    <row r="23" spans="1:3" x14ac:dyDescent="0.2">
      <c r="A23" s="4" t="s">
        <v>73</v>
      </c>
      <c r="B23" s="4" t="s">
        <v>74</v>
      </c>
      <c r="C23" s="5">
        <v>2597405.2000000002</v>
      </c>
    </row>
    <row r="24" spans="1:3" x14ac:dyDescent="0.2">
      <c r="A24" s="4" t="s">
        <v>73</v>
      </c>
      <c r="B24" s="4" t="s">
        <v>75</v>
      </c>
      <c r="C24" s="5">
        <v>580276.80000000005</v>
      </c>
    </row>
    <row r="25" spans="1:3" x14ac:dyDescent="0.2">
      <c r="A25" s="4" t="s">
        <v>73</v>
      </c>
      <c r="B25" s="4" t="s">
        <v>76</v>
      </c>
      <c r="C25" s="5">
        <v>132645.66</v>
      </c>
    </row>
    <row r="26" spans="1:3" x14ac:dyDescent="0.2">
      <c r="A26" s="4" t="s">
        <v>73</v>
      </c>
      <c r="B26" s="4" t="s">
        <v>77</v>
      </c>
      <c r="C26" s="5">
        <v>1520069.67</v>
      </c>
    </row>
    <row r="27" spans="1:3" x14ac:dyDescent="0.2">
      <c r="A27" s="4" t="s">
        <v>73</v>
      </c>
      <c r="B27" s="4" t="s">
        <v>78</v>
      </c>
      <c r="C27" s="5">
        <v>77690.91</v>
      </c>
    </row>
    <row r="28" spans="1:3" x14ac:dyDescent="0.2">
      <c r="A28" s="4" t="s">
        <v>73</v>
      </c>
      <c r="B28" s="4" t="s">
        <v>79</v>
      </c>
      <c r="C28" s="5">
        <v>138859.26999999999</v>
      </c>
    </row>
    <row r="29" spans="1:3" x14ac:dyDescent="0.2">
      <c r="A29" s="4" t="s">
        <v>73</v>
      </c>
      <c r="B29" s="4" t="s">
        <v>80</v>
      </c>
      <c r="C29" s="5">
        <v>1505312.6</v>
      </c>
    </row>
    <row r="30" spans="1:3" x14ac:dyDescent="0.2">
      <c r="A30" s="4" t="s">
        <v>81</v>
      </c>
      <c r="B30" s="4" t="s">
        <v>82</v>
      </c>
      <c r="C30" s="5">
        <v>1080882.18</v>
      </c>
    </row>
    <row r="31" spans="1:3" x14ac:dyDescent="0.2">
      <c r="A31" s="4" t="s">
        <v>81</v>
      </c>
      <c r="B31" s="4" t="s">
        <v>83</v>
      </c>
      <c r="C31" s="5">
        <v>387004.48</v>
      </c>
    </row>
    <row r="32" spans="1:3" x14ac:dyDescent="0.2">
      <c r="A32" s="4" t="s">
        <v>81</v>
      </c>
      <c r="B32" s="4" t="s">
        <v>84</v>
      </c>
      <c r="C32" s="5">
        <v>186193.8</v>
      </c>
    </row>
    <row r="33" spans="1:3" x14ac:dyDescent="0.2">
      <c r="A33" s="4" t="s">
        <v>81</v>
      </c>
      <c r="B33" s="4" t="s">
        <v>85</v>
      </c>
      <c r="C33" s="5">
        <v>263036.96000000002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AGENDA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2026-01-25T15:04:44Z</dcterms:created>
  <dcterms:modified xsi:type="dcterms:W3CDTF">2026-01-25T17:30:04Z</dcterms:modified>
</cp:coreProperties>
</file>