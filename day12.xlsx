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94A63779-73A0-3A48-9B1E-759A32C179F9}" xr6:coauthVersionLast="47" xr6:coauthVersionMax="47" xr10:uidLastSave="{00000000-0000-0000-0000-000000000000}"/>
  <bookViews>
    <workbookView xWindow="0" yWindow="600" windowWidth="28800" windowHeight="17400" activeTab="1" xr2:uid="{71B0FC7B-8440-2A4D-AAFF-95DC3B874208}"/>
  </bookViews>
  <sheets>
    <sheet name="AGENDA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4" i="2" l="1"/>
  <c r="D88" i="2"/>
  <c r="D86" i="2"/>
  <c r="D84" i="2"/>
  <c r="D76" i="2"/>
  <c r="C74" i="2"/>
  <c r="B76" i="2" s="1"/>
  <c r="C67" i="2"/>
  <c r="B69" i="2" s="1"/>
  <c r="D69" i="2"/>
  <c r="D62" i="2"/>
  <c r="D59" i="2"/>
  <c r="C56" i="2"/>
  <c r="B62" i="2" s="1"/>
  <c r="B49" i="2"/>
  <c r="B44" i="2"/>
  <c r="B46" i="2"/>
  <c r="C43" i="2"/>
  <c r="D51" i="2"/>
  <c r="B51" i="2"/>
  <c r="D46" i="2"/>
  <c r="D38" i="2"/>
  <c r="D39" i="2"/>
  <c r="D37" i="2"/>
  <c r="B39" i="2"/>
  <c r="B38" i="2"/>
  <c r="B37" i="2"/>
  <c r="D29" i="2"/>
  <c r="D27" i="2"/>
  <c r="D25" i="2"/>
  <c r="B29" i="2"/>
  <c r="D17" i="2"/>
  <c r="B17" i="2"/>
  <c r="D13" i="2"/>
  <c r="B13" i="2"/>
  <c r="D3" i="2"/>
  <c r="D5" i="2"/>
  <c r="B5" i="2"/>
  <c r="B3" i="2"/>
  <c r="B88" i="2" l="1"/>
  <c r="B86" i="2"/>
  <c r="B59" i="2"/>
  <c r="B25" i="2"/>
  <c r="B27" i="2"/>
</calcChain>
</file>

<file path=xl/sharedStrings.xml><?xml version="1.0" encoding="utf-8"?>
<sst xmlns="http://schemas.openxmlformats.org/spreadsheetml/2006/main" count="49" uniqueCount="45">
  <si>
    <t>DATE TIME FUNC</t>
  </si>
  <si>
    <t>WHOLE NUMBERS</t>
  </si>
  <si>
    <t>TIME</t>
  </si>
  <si>
    <t>DATE</t>
  </si>
  <si>
    <t>DECIMAL PART</t>
  </si>
  <si>
    <t>Current Date</t>
  </si>
  <si>
    <t xml:space="preserve">DATE </t>
  </si>
  <si>
    <t>To build a date</t>
  </si>
  <si>
    <t>To build a TIME</t>
  </si>
  <si>
    <t>NOW()</t>
  </si>
  <si>
    <t>TODAY()</t>
  </si>
  <si>
    <t>YEAR</t>
  </si>
  <si>
    <t>MONTH</t>
  </si>
  <si>
    <t>DAY</t>
  </si>
  <si>
    <t>Get year from Date</t>
  </si>
  <si>
    <t>Get MONTH from Date</t>
  </si>
  <si>
    <t>Get DAY from Date</t>
  </si>
  <si>
    <t>HOUR</t>
  </si>
  <si>
    <t>excracts the HOUR part from the TIME ( serial num )</t>
  </si>
  <si>
    <t>MINUTE</t>
  </si>
  <si>
    <t>excracts the MINUTE part from the TIME ( serial num )</t>
  </si>
  <si>
    <t>SECONDS</t>
  </si>
  <si>
    <t>excracts the SECOND part from the TIME ( serial num )</t>
  </si>
  <si>
    <t>TIMEVALUE</t>
  </si>
  <si>
    <t>DATEVALUE</t>
  </si>
  <si>
    <t>SERIAL NUM</t>
  </si>
  <si>
    <t>Return corresponding serial number for the TIME STORED / PASSED AS TEXT</t>
  </si>
  <si>
    <t>Return corresponding serial number for the DATE STORED / PASSED  AS TEXT</t>
  </si>
  <si>
    <t>EDATE</t>
  </si>
  <si>
    <t xml:space="preserve">RETURN SERIALNUM and only add the months, </t>
  </si>
  <si>
    <t>EOMONTH</t>
  </si>
  <si>
    <t>RETURN serial num of the LAST DAY OF THAT MONTH after adding the months given in input</t>
  </si>
  <si>
    <t>START</t>
  </si>
  <si>
    <t>WEEKDAY</t>
  </si>
  <si>
    <t>TELL THE DAY ( of week ) as per the date , LIKE MONDAY, TUES, etc ( convention)</t>
  </si>
  <si>
    <t>WEEkNUM</t>
  </si>
  <si>
    <t>TELLS the WEEK num In that year, numerically ( refer the actual calander)</t>
  </si>
  <si>
    <t>Sat</t>
  </si>
  <si>
    <t>Default : Sun -- 1 Sat is Last(7)</t>
  </si>
  <si>
    <t>inside 40th Week of the year</t>
  </si>
  <si>
    <t>https://support.microsoft.com/en-us/excel/functions/weeknum-function</t>
  </si>
  <si>
    <t>DATEDIF</t>
  </si>
  <si>
    <t>To tell difference b/w two dates in desired unit</t>
  </si>
  <si>
    <t>START DATE</t>
  </si>
  <si>
    <t>END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</si>
</sst>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2" fontId="0" fillId="0" borderId="0" xfId="0" applyNumberFormat="1"/>
    <xf numFmtId="14" fontId="0" fillId="0" borderId="0" xfId="0" applyNumberFormat="1"/>
    <xf numFmtId="1" fontId="0" fillId="0" borderId="0" xfId="0" applyNumberFormat="1"/>
    <xf numFmtId="22" fontId="0" fillId="0" borderId="0" xfId="0" applyNumberFormat="1"/>
    <xf numFmtId="21" fontId="0" fillId="0" borderId="0" xfId="0" applyNumberFormat="1"/>
    <xf numFmtId="18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67257</xdr:colOff>
      <xdr:row>89</xdr:row>
      <xdr:rowOff>41838</xdr:rowOff>
    </xdr:from>
    <xdr:to>
      <xdr:col>5</xdr:col>
      <xdr:colOff>97009</xdr:colOff>
      <xdr:row>102</xdr:row>
      <xdr:rowOff>130762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A68446-208D-2700-5D9C-8A66110E1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4142" y="17999875"/>
          <a:ext cx="4017789" cy="27120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05EAB-6CC5-604F-B21F-5B30B24D66E3}">
  <dimension ref="A3:H65"/>
  <sheetViews>
    <sheetView topLeftCell="A57" zoomScale="266" workbookViewId="0">
      <selection activeCell="B65" sqref="B65:D65"/>
    </sheetView>
  </sheetViews>
  <sheetFormatPr baseColWidth="10" defaultRowHeight="16" x14ac:dyDescent="0.2"/>
  <sheetData>
    <row r="3" spans="1:7" x14ac:dyDescent="0.2">
      <c r="B3" s="1" t="s">
        <v>0</v>
      </c>
      <c r="C3" s="1"/>
    </row>
    <row r="4" spans="1:7" x14ac:dyDescent="0.2">
      <c r="B4" s="1"/>
      <c r="C4" s="1"/>
    </row>
    <row r="7" spans="1:7" x14ac:dyDescent="0.2">
      <c r="B7" t="s">
        <v>3</v>
      </c>
      <c r="D7" t="s">
        <v>1</v>
      </c>
      <c r="F7" t="s">
        <v>25</v>
      </c>
    </row>
    <row r="9" spans="1:7" x14ac:dyDescent="0.2">
      <c r="B9" t="s">
        <v>2</v>
      </c>
      <c r="D9" t="s">
        <v>4</v>
      </c>
      <c r="F9" t="s">
        <v>25</v>
      </c>
    </row>
    <row r="11" spans="1:7" x14ac:dyDescent="0.2">
      <c r="A11" s="2"/>
      <c r="B11" s="2"/>
      <c r="C11" s="2"/>
      <c r="D11" s="2"/>
      <c r="E11" s="2"/>
      <c r="F11" s="2"/>
      <c r="G11" s="2"/>
    </row>
    <row r="13" spans="1:7" x14ac:dyDescent="0.2">
      <c r="B13" t="s">
        <v>10</v>
      </c>
      <c r="D13" t="s">
        <v>5</v>
      </c>
    </row>
    <row r="14" spans="1:7" x14ac:dyDescent="0.2">
      <c r="C14" s="3"/>
    </row>
    <row r="16" spans="1:7" x14ac:dyDescent="0.2">
      <c r="B16" t="s">
        <v>6</v>
      </c>
      <c r="C16" s="4"/>
      <c r="D16" t="s">
        <v>7</v>
      </c>
    </row>
    <row r="19" spans="1:7" x14ac:dyDescent="0.2">
      <c r="B19" t="s">
        <v>2</v>
      </c>
      <c r="D19" t="s">
        <v>8</v>
      </c>
    </row>
    <row r="21" spans="1:7" x14ac:dyDescent="0.2">
      <c r="B21" t="s">
        <v>9</v>
      </c>
    </row>
    <row r="24" spans="1:7" x14ac:dyDescent="0.2">
      <c r="A24" s="2"/>
      <c r="B24" s="2"/>
      <c r="C24" s="2"/>
      <c r="D24" s="2"/>
      <c r="E24" s="2"/>
      <c r="F24" s="2"/>
      <c r="G24" s="2"/>
    </row>
    <row r="26" spans="1:7" x14ac:dyDescent="0.2">
      <c r="B26" t="s">
        <v>11</v>
      </c>
      <c r="D26" t="s">
        <v>14</v>
      </c>
    </row>
    <row r="28" spans="1:7" x14ac:dyDescent="0.2">
      <c r="B28" t="s">
        <v>12</v>
      </c>
      <c r="D28" t="s">
        <v>15</v>
      </c>
    </row>
    <row r="30" spans="1:7" x14ac:dyDescent="0.2">
      <c r="B30" t="s">
        <v>13</v>
      </c>
      <c r="D30" t="s">
        <v>16</v>
      </c>
    </row>
    <row r="33" spans="1:8" x14ac:dyDescent="0.2">
      <c r="A33" s="2"/>
      <c r="B33" s="2"/>
      <c r="C33" s="2"/>
      <c r="D33" s="2"/>
      <c r="E33" s="2"/>
      <c r="F33" s="2"/>
      <c r="G33" s="2"/>
    </row>
    <row r="36" spans="1:8" x14ac:dyDescent="0.2">
      <c r="B36" s="9" t="s">
        <v>17</v>
      </c>
      <c r="D36" s="9" t="s">
        <v>18</v>
      </c>
    </row>
    <row r="37" spans="1:8" x14ac:dyDescent="0.2">
      <c r="B37" s="9"/>
      <c r="D37" s="9"/>
    </row>
    <row r="38" spans="1:8" x14ac:dyDescent="0.2">
      <c r="B38" s="9" t="s">
        <v>19</v>
      </c>
      <c r="D38" s="9" t="s">
        <v>20</v>
      </c>
    </row>
    <row r="39" spans="1:8" x14ac:dyDescent="0.2">
      <c r="B39" s="9"/>
      <c r="D39" s="9"/>
    </row>
    <row r="40" spans="1:8" x14ac:dyDescent="0.2">
      <c r="B40" s="9" t="s">
        <v>21</v>
      </c>
      <c r="D40" s="9" t="s">
        <v>22</v>
      </c>
    </row>
    <row r="43" spans="1:8" x14ac:dyDescent="0.2">
      <c r="A43" s="2"/>
      <c r="B43" s="2"/>
      <c r="C43" s="2"/>
      <c r="D43" s="2"/>
      <c r="E43" s="2"/>
      <c r="F43" s="2"/>
      <c r="G43" s="2"/>
      <c r="H43" s="2"/>
    </row>
    <row r="45" spans="1:8" x14ac:dyDescent="0.2">
      <c r="B45" t="s">
        <v>23</v>
      </c>
      <c r="D45" t="s">
        <v>26</v>
      </c>
    </row>
    <row r="47" spans="1:8" x14ac:dyDescent="0.2">
      <c r="B47" t="s">
        <v>24</v>
      </c>
      <c r="D47" t="s">
        <v>27</v>
      </c>
    </row>
    <row r="49" spans="1:8" x14ac:dyDescent="0.2">
      <c r="A49" s="2"/>
      <c r="B49" s="2"/>
      <c r="C49" s="2"/>
      <c r="D49" s="2"/>
      <c r="E49" s="2"/>
      <c r="F49" s="2"/>
      <c r="G49" s="2"/>
      <c r="H49" s="2"/>
    </row>
    <row r="51" spans="1:8" x14ac:dyDescent="0.2">
      <c r="B51" s="9" t="s">
        <v>28</v>
      </c>
      <c r="D51" s="9" t="s">
        <v>29</v>
      </c>
    </row>
    <row r="52" spans="1:8" x14ac:dyDescent="0.2">
      <c r="B52" s="9"/>
      <c r="D52" s="9"/>
    </row>
    <row r="53" spans="1:8" x14ac:dyDescent="0.2">
      <c r="B53" s="9" t="s">
        <v>30</v>
      </c>
      <c r="D53" s="9" t="s">
        <v>31</v>
      </c>
    </row>
    <row r="56" spans="1:8" x14ac:dyDescent="0.2">
      <c r="A56" s="2"/>
      <c r="B56" s="2"/>
      <c r="C56" s="2"/>
      <c r="D56" s="2"/>
      <c r="E56" s="2"/>
      <c r="F56" s="2"/>
      <c r="G56" s="2"/>
    </row>
    <row r="58" spans="1:8" x14ac:dyDescent="0.2">
      <c r="B58" s="9" t="s">
        <v>33</v>
      </c>
      <c r="D58" s="9" t="s">
        <v>34</v>
      </c>
    </row>
    <row r="59" spans="1:8" x14ac:dyDescent="0.2">
      <c r="B59" s="9"/>
      <c r="D59" s="9"/>
    </row>
    <row r="60" spans="1:8" x14ac:dyDescent="0.2">
      <c r="B60" s="9" t="s">
        <v>35</v>
      </c>
      <c r="D60" s="9" t="s">
        <v>36</v>
      </c>
    </row>
    <row r="63" spans="1:8" x14ac:dyDescent="0.2">
      <c r="A63" s="2"/>
      <c r="B63" s="2"/>
      <c r="C63" s="2"/>
      <c r="D63" s="2"/>
      <c r="E63" s="2"/>
      <c r="F63" s="2"/>
      <c r="G63" s="2"/>
      <c r="H63" s="2"/>
    </row>
    <row r="65" spans="2:4" x14ac:dyDescent="0.2">
      <c r="B65" t="s">
        <v>41</v>
      </c>
      <c r="D65" t="s">
        <v>42</v>
      </c>
    </row>
  </sheetData>
  <mergeCells count="1">
    <mergeCell ref="B3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3B9DD-A47C-AB42-ACE4-655361D93109}">
  <dimension ref="A3:F88"/>
  <sheetViews>
    <sheetView tabSelected="1" topLeftCell="A94" zoomScale="321" workbookViewId="0">
      <selection activeCell="C86" sqref="C86"/>
    </sheetView>
  </sheetViews>
  <sheetFormatPr baseColWidth="10" defaultRowHeight="16" x14ac:dyDescent="0.2"/>
  <cols>
    <col min="2" max="3" width="15.33203125" bestFit="1" customWidth="1"/>
  </cols>
  <sheetData>
    <row r="3" spans="1:6" x14ac:dyDescent="0.2">
      <c r="B3" s="4">
        <f ca="1">TODAY()</f>
        <v>46298</v>
      </c>
      <c r="D3" t="str">
        <f ca="1">_xlfn.FORMULATEXT(B3)</f>
        <v>=TODAY()</v>
      </c>
    </row>
    <row r="5" spans="1:6" x14ac:dyDescent="0.2">
      <c r="B5" s="7">
        <f ca="1">NOW()</f>
        <v>46298.925369791665</v>
      </c>
      <c r="D5" t="str">
        <f ca="1">_xlfn.FORMULATEXT(B5)</f>
        <v>=NOW()</v>
      </c>
    </row>
    <row r="8" spans="1:6" x14ac:dyDescent="0.2">
      <c r="A8" s="2"/>
      <c r="B8" s="2"/>
      <c r="C8" s="2"/>
      <c r="D8" s="2"/>
      <c r="E8" s="2"/>
      <c r="F8" s="2"/>
    </row>
    <row r="11" spans="1:6" x14ac:dyDescent="0.2">
      <c r="B11" t="s">
        <v>6</v>
      </c>
    </row>
    <row r="13" spans="1:6" x14ac:dyDescent="0.2">
      <c r="B13" s="4">
        <f>DATE(2026,10,3)</f>
        <v>46298</v>
      </c>
      <c r="D13" t="str">
        <f ca="1">_xlfn.FORMULATEXT(B13)</f>
        <v>=DATE(2026,10,3)</v>
      </c>
    </row>
    <row r="15" spans="1:6" x14ac:dyDescent="0.2">
      <c r="B15" t="s">
        <v>2</v>
      </c>
    </row>
    <row r="17" spans="1:6" x14ac:dyDescent="0.2">
      <c r="B17" s="8">
        <f>TIME(18,30,40)</f>
        <v>0.77129629629629626</v>
      </c>
      <c r="D17" t="str">
        <f ca="1">_xlfn.FORMULATEXT(B17)</f>
        <v>=TIME(18,30,40)</v>
      </c>
    </row>
    <row r="20" spans="1:6" x14ac:dyDescent="0.2">
      <c r="A20" s="2"/>
      <c r="B20" s="2"/>
      <c r="C20" s="2"/>
      <c r="D20" s="2"/>
      <c r="E20" s="2"/>
    </row>
    <row r="22" spans="1:6" x14ac:dyDescent="0.2">
      <c r="C22" s="4">
        <v>43216</v>
      </c>
    </row>
    <row r="25" spans="1:6" x14ac:dyDescent="0.2">
      <c r="B25">
        <f>YEAR(C22)</f>
        <v>2018</v>
      </c>
      <c r="D25" t="str">
        <f ca="1">_xlfn.FORMULATEXT(B25)</f>
        <v>=YEAR(C22)</v>
      </c>
    </row>
    <row r="27" spans="1:6" x14ac:dyDescent="0.2">
      <c r="B27">
        <f>MONTH(C22)</f>
        <v>4</v>
      </c>
      <c r="D27" t="str">
        <f ca="1">_xlfn.FORMULATEXT(B27)</f>
        <v>=MONTH(C22)</v>
      </c>
    </row>
    <row r="29" spans="1:6" x14ac:dyDescent="0.2">
      <c r="B29">
        <f>DAY(C22)</f>
        <v>26</v>
      </c>
      <c r="D29" t="str">
        <f ca="1">_xlfn.FORMULATEXT(B29)</f>
        <v>=DAY(C22)</v>
      </c>
    </row>
    <row r="32" spans="1:6" x14ac:dyDescent="0.2">
      <c r="A32" s="2"/>
      <c r="B32" s="2"/>
      <c r="C32" s="2"/>
      <c r="D32" s="2"/>
      <c r="E32" s="2"/>
      <c r="F32" s="2"/>
    </row>
    <row r="34" spans="1:6" x14ac:dyDescent="0.2">
      <c r="C34" s="7">
        <v>0.67520000000000002</v>
      </c>
    </row>
    <row r="37" spans="1:6" x14ac:dyDescent="0.2">
      <c r="B37">
        <f>HOUR(C34)</f>
        <v>16</v>
      </c>
      <c r="D37" t="str">
        <f ca="1">_xlfn.FORMULATEXT(B37)</f>
        <v>=HOUR(C34)</v>
      </c>
    </row>
    <row r="38" spans="1:6" x14ac:dyDescent="0.2">
      <c r="B38">
        <f>MINUTE(C34)</f>
        <v>12</v>
      </c>
      <c r="D38" t="str">
        <f t="shared" ref="D38:D39" ca="1" si="0">_xlfn.FORMULATEXT(B38)</f>
        <v>=MINUTE(C34)</v>
      </c>
    </row>
    <row r="39" spans="1:6" x14ac:dyDescent="0.2">
      <c r="B39">
        <f>SECOND(C34)</f>
        <v>17</v>
      </c>
      <c r="D39" t="str">
        <f t="shared" ca="1" si="0"/>
        <v>=SECOND(C34)</v>
      </c>
    </row>
    <row r="41" spans="1:6" x14ac:dyDescent="0.2">
      <c r="A41" s="2"/>
      <c r="B41" s="2"/>
      <c r="C41" s="2"/>
      <c r="D41" s="2"/>
      <c r="E41" s="2"/>
      <c r="F41" s="2"/>
    </row>
    <row r="43" spans="1:6" x14ac:dyDescent="0.2">
      <c r="C43" s="6">
        <f ca="1">TODAY()</f>
        <v>46298</v>
      </c>
    </row>
    <row r="44" spans="1:6" x14ac:dyDescent="0.2">
      <c r="B44" t="str">
        <f>"08/03/2006"</f>
        <v>08/03/2006</v>
      </c>
    </row>
    <row r="46" spans="1:6" x14ac:dyDescent="0.2">
      <c r="B46">
        <f>DATEVALUE(B44)</f>
        <v>38784</v>
      </c>
      <c r="D46" t="str">
        <f t="shared" ref="D46" ca="1" si="1">_xlfn.FORMULATEXT(B46)</f>
        <v>=DATEVALUE(B44)</v>
      </c>
    </row>
    <row r="49" spans="1:5" x14ac:dyDescent="0.2">
      <c r="B49" t="str">
        <f>"13:45:20"</f>
        <v>13:45:20</v>
      </c>
    </row>
    <row r="51" spans="1:5" x14ac:dyDescent="0.2">
      <c r="B51">
        <f>TIMEVALUE(B49)</f>
        <v>0.57314814814814818</v>
      </c>
      <c r="D51" t="str">
        <f t="shared" ref="D51" ca="1" si="2">_xlfn.FORMULATEXT(B51)</f>
        <v>=TIMEVALUE(B49)</v>
      </c>
    </row>
    <row r="54" spans="1:5" x14ac:dyDescent="0.2">
      <c r="A54" s="2"/>
      <c r="B54" s="2"/>
      <c r="C54" s="2"/>
      <c r="D54" s="2"/>
      <c r="E54" s="2"/>
    </row>
    <row r="56" spans="1:5" x14ac:dyDescent="0.2">
      <c r="B56" t="s">
        <v>32</v>
      </c>
      <c r="C56" s="4">
        <f ca="1">TODAY()</f>
        <v>46298</v>
      </c>
    </row>
    <row r="59" spans="1:5" x14ac:dyDescent="0.2">
      <c r="B59" s="4">
        <f ca="1">EDATE(C56,-4)</f>
        <v>46176</v>
      </c>
      <c r="D59" t="str">
        <f ca="1">_xlfn.FORMULATEXT(B59)</f>
        <v>=EDATE(C56,-4)</v>
      </c>
    </row>
    <row r="62" spans="1:5" x14ac:dyDescent="0.2">
      <c r="B62" s="4">
        <f ca="1">EOMONTH(C56,2)</f>
        <v>46387</v>
      </c>
      <c r="D62" t="str">
        <f ca="1">_xlfn.FORMULATEXT(B62)</f>
        <v>=EOMONTH(C56,2)</v>
      </c>
    </row>
    <row r="65" spans="1:5" x14ac:dyDescent="0.2">
      <c r="A65" s="2"/>
      <c r="B65" s="2"/>
      <c r="C65" s="2"/>
      <c r="D65" s="2"/>
      <c r="E65" s="2"/>
    </row>
    <row r="67" spans="1:5" x14ac:dyDescent="0.2">
      <c r="C67" s="4">
        <f ca="1">TODAY()</f>
        <v>46298</v>
      </c>
      <c r="D67" t="s">
        <v>37</v>
      </c>
    </row>
    <row r="69" spans="1:5" x14ac:dyDescent="0.2">
      <c r="B69">
        <f ca="1">WEEKDAY(C67)</f>
        <v>7</v>
      </c>
      <c r="D69" t="str">
        <f ca="1">_xlfn.FORMULATEXT(B69)</f>
        <v>=WEEKDAY(C67)</v>
      </c>
    </row>
    <row r="71" spans="1:5" x14ac:dyDescent="0.2">
      <c r="B71" t="s">
        <v>38</v>
      </c>
    </row>
    <row r="74" spans="1:5" x14ac:dyDescent="0.2">
      <c r="C74" s="4">
        <f ca="1">TODAY()</f>
        <v>46298</v>
      </c>
      <c r="D74" t="s">
        <v>39</v>
      </c>
    </row>
    <row r="76" spans="1:5" x14ac:dyDescent="0.2">
      <c r="B76">
        <f ca="1">WEEKNUM(C74)</f>
        <v>40</v>
      </c>
      <c r="D76" t="str">
        <f t="shared" ref="D75:D76" ca="1" si="3">_xlfn.FORMULATEXT(B76)</f>
        <v>=WEEKNUM(C74)</v>
      </c>
    </row>
    <row r="78" spans="1:5" x14ac:dyDescent="0.2">
      <c r="B78" t="s">
        <v>40</v>
      </c>
    </row>
    <row r="80" spans="1:5" x14ac:dyDescent="0.2">
      <c r="A80" s="2"/>
      <c r="B80" s="2"/>
      <c r="C80" s="2"/>
      <c r="D80" s="2"/>
      <c r="E80" s="2"/>
    </row>
    <row r="82" spans="2:4" x14ac:dyDescent="0.2">
      <c r="D82" s="4"/>
    </row>
    <row r="83" spans="2:4" x14ac:dyDescent="0.2">
      <c r="B83" t="s">
        <v>43</v>
      </c>
      <c r="D83" t="s">
        <v>44</v>
      </c>
    </row>
    <row r="84" spans="2:4" x14ac:dyDescent="0.2">
      <c r="B84" s="4">
        <f ca="1">TODAY()-45</f>
        <v>46253</v>
      </c>
      <c r="D84" s="4">
        <f ca="1">TODAY()+68</f>
        <v>46366</v>
      </c>
    </row>
    <row r="86" spans="2:4" x14ac:dyDescent="0.2">
      <c r="B86">
        <f ca="1">DATEDIF(B84,D84,"D")</f>
        <v>113</v>
      </c>
      <c r="D86" t="str">
        <f t="shared" ref="D86:D88" ca="1" si="4">_xlfn.FORMULATEXT(B86)</f>
        <v>=DATEDIF(B84,D84,"D")</v>
      </c>
    </row>
    <row r="88" spans="2:4" x14ac:dyDescent="0.2">
      <c r="B88" s="5">
        <f ca="1">DATEDIF(B84,D84,"M")</f>
        <v>3</v>
      </c>
      <c r="D88" t="str">
        <f t="shared" ca="1" si="4"/>
        <v>=DATEDIF(B84,D84,"M")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AGENDA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2026-10-03T15:44:41Z</dcterms:created>
  <dcterms:modified xsi:type="dcterms:W3CDTF">2026-10-03T16:50:28Z</dcterms:modified>
</cp:coreProperties>
</file>