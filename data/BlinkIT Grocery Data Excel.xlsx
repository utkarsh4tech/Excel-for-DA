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Analytics Projects\Excel - Blinkit Analysis\"/>
    </mc:Choice>
  </mc:AlternateContent>
  <xr:revisionPtr revIDLastSave="0" documentId="13_ncr:1_{8031FEA6-A0D6-4F8A-937B-3C46415AF9FE}" xr6:coauthVersionLast="47" xr6:coauthVersionMax="47" xr10:uidLastSave="{00000000-0000-0000-0000-000000000000}"/>
  <bookViews>
    <workbookView xWindow="-108" yWindow="-108" windowWidth="23256" windowHeight="12576" activeTab="2" xr2:uid="{F8420BDF-C08E-4FBB-891B-F574F63AC6D0}"/>
  </bookViews>
  <sheets>
    <sheet name="Raw Data" sheetId="1" r:id="rId1"/>
    <sheet name="Sheet Design" sheetId="2" r:id="rId2"/>
    <sheet name="Dashboard" sheetId="3" r:id="rId3"/>
  </sheets>
  <definedNames>
    <definedName name="_xlchart.v2.0" hidden="1">'Sheet Design'!$U$12:$U$14</definedName>
    <definedName name="_xlchart.v2.1" hidden="1">'Sheet Design'!$V$11</definedName>
    <definedName name="_xlchart.v2.2" hidden="1">'Sheet Design'!$V$12:$V$14</definedName>
    <definedName name="_xlchart.v2.3" hidden="1">'Sheet Design'!$U$12:$U$14</definedName>
    <definedName name="_xlchart.v2.4" hidden="1">'Sheet Design'!$V$11</definedName>
    <definedName name="_xlchart.v2.5" hidden="1">'Sheet Design'!$V$12:$V$14</definedName>
    <definedName name="_xlchart.v2.6" hidden="1">'Sheet Design'!$U$12:$U$14</definedName>
    <definedName name="_xlchart.v2.7" hidden="1">'Sheet Design'!$V$11</definedName>
    <definedName name="_xlchart.v2.8" hidden="1">'Sheet Design'!$V$12:$V$14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V12" i="2" l="1"/>
  <c r="U13" i="2"/>
  <c r="U14" i="2"/>
  <c r="U12" i="2"/>
  <c r="B6" i="2"/>
  <c r="A6" i="2"/>
  <c r="D6" i="2"/>
  <c r="C6" i="2"/>
  <c r="V14" i="2"/>
  <c r="V13" i="2"/>
</calcChain>
</file>

<file path=xl/sharedStrings.xml><?xml version="1.0" encoding="utf-8"?>
<sst xmlns="http://schemas.openxmlformats.org/spreadsheetml/2006/main" count="59756" uniqueCount="1629">
  <si>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</si>
  <si>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</si>
  <si>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</si>
  <si>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</si>
  <si>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</si>
  <si>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</si>
  <si>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</si>
  <si>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</si>
  <si>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</si>
  <si>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</si>
  <si>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</si>
  <si>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</si>
  <si>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</si>
  <si>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</si>
  <si>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</si>
  <si>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</si>
  <si>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</si>
  <si>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</si>
  <si>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</si>
  <si>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</si>
  <si>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</si>
  <si>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</si>
  <si>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</si>
  <si>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</si>
  <si>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</si>
  <si>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</si>
  <si>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</si>
  <si>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</si>
  <si>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</si>
  <si>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</si>
  <si>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</si>
  <si>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</si>
  <si>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</si>
  <si>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</si>
  <si>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</si>
  <si>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</si>
  <si>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</si>
  <si>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</si>
  <si>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</si>
  <si>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</si>
  <si>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</si>
  <si>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</si>
  <si>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</si>
  <si>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</si>
  <si>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</si>
  <si>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</si>
  <si>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</si>
  <si>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</si>
  <si>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</si>
  <si>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</si>
  <si>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</si>
  <si>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</si>
  <si>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</si>
  <si>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</si>
  <si>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</si>
  <si>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</si>
  <si>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</si>
  <si>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</si>
  <si>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</si>
  <si>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</si>
  <si>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</si>
  <si>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</si>
  <si>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</si>
  <si>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</si>
  <si>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</si>
  <si>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</si>
  <si>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</si>
  <si>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</si>
  <si>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</si>
  <si>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</si>
  <si>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</si>
  <si>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</si>
  <si>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</si>
  <si>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</si>
  <si>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</si>
  <si>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</si>
  <si>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</si>
  <si>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</si>
  <si>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</si>
  <si>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</si>
  <si>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</si>
  <si>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</si>
  <si>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</si>
  <si>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</si>
  <si>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</si>
  <si>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</si>
  <si>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</si>
  <si>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</si>
  <si>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</si>
  <si>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</si>
  <si>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</si>
  <si>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</si>
  <si>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</si>
  <si>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</si>
  <si>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</si>
  <si>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</si>
  <si>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</si>
  <si>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</si>
  <si>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</si>
  <si>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</si>
  <si>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</si>
  <si>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</si>
  <si>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</si>
  <si>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</si>
  <si>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</si>
  <si>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</si>
  <si>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</si>
  <si>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</si>
  <si>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</si>
  <si>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</si>
  <si>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</si>
  <si>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</si>
  <si>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</si>
  <si>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</si>
  <si>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</si>
  <si>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</si>
  <si>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</si>
  <si>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</si>
  <si>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</si>
  <si>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</si>
  <si>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</si>
  <si>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</si>
  <si>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</si>
  <si>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</si>
  <si>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</si>
  <si>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</si>
  <si>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</si>
  <si>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</si>
  <si>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</si>
  <si>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</si>
  <si>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</si>
  <si>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</si>
  <si>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</si>
  <si>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</si>
  <si>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</si>
  <si>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</si>
  <si>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</si>
  <si>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</si>
  <si>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</si>
  <si>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</si>
  <si>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</si>
  <si>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</si>
  <si>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</si>
  <si>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</si>
  <si>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</si>
  <si>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</si>
  <si>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</si>
  <si>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</si>
  <si>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</si>
  <si>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</si>
  <si>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</si>
  <si>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</si>
  <si>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</si>
  <si>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</si>
  <si>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</si>
  <si>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</si>
  <si>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</si>
  <si>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</si>
  <si>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</si>
  <si>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</si>
  <si>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</si>
  <si>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</si>
  <si>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</si>
  <si>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</si>
  <si>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</si>
  <si>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</si>
  <si>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</si>
  <si>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</si>
  <si>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</si>
  <si>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</si>
  <si>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</si>
  <si>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</si>
  <si>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</si>
  <si>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</si>
  <si>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</si>
  <si>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</si>
  <si>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</si>
  <si>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</si>
  <si>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</si>
  <si>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</si>
  <si>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</si>
  <si>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</si>
  <si>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</si>
  <si>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</si>
  <si>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</si>
  <si>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</si>
  <si>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</si>
  <si>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</si>
  <si>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</si>
  <si>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</si>
  <si>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</si>
  <si>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</si>
  <si>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</si>
  <si>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</si>
  <si>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</si>
  <si>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</si>
  <si>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</si>
  <si>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</si>
  <si>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</si>
  <si>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</si>
  <si>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</si>
  <si>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</si>
  <si>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</si>
  <si>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</si>
  <si>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</si>
  <si>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</si>
  <si>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</si>
  <si>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</si>
  <si>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</si>
  <si>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</si>
  <si>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</si>
  <si>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</si>
  <si>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</si>
  <si>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</si>
  <si>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</si>
  <si>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</si>
  <si>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</si>
  <si>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</si>
  <si>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</si>
  <si>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</si>
  <si>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</si>
  <si>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</si>
  <si>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</si>
  <si>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</si>
  <si>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</si>
  <si>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</si>
  <si>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</si>
  <si>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</si>
  <si>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</si>
  <si>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</si>
  <si>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</si>
  <si>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</si>
  <si>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</si>
  <si>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</si>
  <si>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</si>
  <si>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</si>
  <si>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</si>
  <si>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</si>
  <si>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</si>
  <si>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</si>
  <si>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</si>
  <si>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</si>
  <si>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</si>
  <si>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</si>
  <si>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</si>
  <si>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</si>
  <si>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</si>
  <si>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</si>
  <si>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</si>
  <si>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</si>
  <si>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</si>
  <si>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</si>
  <si>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</si>
  <si>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</si>
  <si>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</si>
  <si>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</si>
  <si>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</si>
  <si>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</si>
  <si>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</si>
  <si>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</si>
  <si>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</si>
  <si>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</si>
  <si>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</si>
  <si>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</si>
  <si>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</si>
  <si>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</si>
  <si>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</si>
  <si>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</si>
  <si>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</si>
  <si>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</si>
  <si>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</si>
  <si>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</si>
  <si>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</si>
  <si>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</si>
  <si>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</si>
  <si>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</si>
  <si>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</si>
  <si>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</si>
  <si>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</si>
  <si>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</si>
  <si>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</si>
  <si>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</si>
  <si>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</si>
  <si>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</si>
  <si>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</si>
  <si>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</si>
  <si>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</si>
  <si>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</si>
  <si>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</si>
  <si>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</si>
  <si>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</si>
  <si>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</si>
  <si>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</si>
  <si>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</si>
  <si>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</si>
  <si>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</si>
  <si>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</si>
  <si>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</si>
  <si>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</si>
  <si>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</si>
  <si>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</si>
  <si>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</si>
  <si>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</si>
  <si>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</si>
  <si>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</si>
  <si>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</si>
  <si>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</si>
  <si>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</si>
  <si>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</si>
  <si>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</si>
  <si>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</si>
  <si>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</si>
  <si>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</si>
  <si>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</si>
  <si>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</si>
  <si>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</si>
  <si>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</si>
  <si>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</si>
  <si>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</si>
  <si>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</si>
  <si>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</si>
  <si>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</si>
  <si>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</si>
  <si>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</si>
  <si>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</si>
  <si>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</si>
  <si>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</si>
  <si>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</si>
  <si>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</si>
  <si>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</si>
  <si>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</si>
  <si>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</si>
  <si>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</si>
  <si>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</si>
  <si>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</si>
  <si>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</si>
  <si>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</si>
  <si>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</si>
  <si>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</si>
  <si>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</si>
  <si>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</si>
  <si>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</si>
  <si>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</si>
  <si>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</si>
  <si>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</si>
  <si>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</si>
  <si>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</si>
  <si>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</si>
  <si>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</si>
  <si>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</si>
  <si>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</si>
  <si>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</si>
  <si>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</si>
  <si>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</si>
  <si>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</si>
  <si>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</si>
  <si>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</si>
  <si>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</si>
  <si>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</si>
  <si>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</si>
  <si>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</si>
  <si>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</si>
  <si>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</si>
  <si>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</si>
  <si>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</si>
  <si>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</si>
  <si>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</si>
  <si>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</si>
  <si>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</si>
  <si>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</si>
  <si>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</si>
  <si>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</si>
  <si>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</si>
  <si>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</si>
  <si>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</si>
  <si>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</si>
  <si>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</si>
  <si>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</si>
  <si>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</si>
  <si>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</si>
  <si>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</si>
  <si>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</si>
  <si>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</si>
  <si>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</si>
  <si>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</si>
  <si>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</si>
  <si>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</si>
  <si>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</si>
  <si>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</si>
  <si>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</si>
  <si>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</si>
  <si>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</si>
  <si>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</si>
  <si>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</si>
  <si>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</si>
  <si>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</si>
  <si>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</si>
  <si>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</si>
  <si>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</si>
  <si>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</si>
  <si>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</si>
  <si>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</si>
  <si>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</si>
  <si>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</si>
  <si>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</si>
  <si>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</si>
  <si>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</si>
  <si>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</si>
  <si>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</si>
  <si>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</si>
  <si>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</si>
  <si>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</si>
  <si>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</si>
  <si>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</si>
  <si>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</si>
  <si>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</si>
  <si>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</si>
  <si>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</si>
  <si>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</si>
  <si>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</si>
  <si>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</si>
  <si>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</si>
  <si>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</si>
  <si>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</si>
  <si>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</si>
  <si>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</si>
  <si>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</si>
  <si>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</si>
  <si>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</si>
  <si>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</si>
  <si>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</si>
  <si>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</si>
  <si>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</si>
  <si>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</si>
  <si>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</si>
  <si>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</si>
  <si>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</si>
  <si>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</si>
  <si>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</si>
  <si>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</si>
  <si>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</si>
  <si>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</si>
  <si>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</si>
  <si>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</si>
  <si>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</si>
  <si>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</si>
  <si>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</si>
  <si>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</si>
  <si>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</si>
  <si>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</si>
  <si>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</si>
  <si>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</si>
  <si>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</si>
  <si>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</si>
  <si>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</si>
  <si>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</si>
  <si>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</si>
  <si>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</si>
  <si>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</si>
  <si>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</si>
  <si>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</si>
  <si>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</si>
  <si>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</si>
  <si>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</si>
  <si>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</si>
  <si>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</si>
  <si>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</si>
  <si>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</si>
  <si>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</si>
  <si>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</si>
  <si>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</si>
  <si>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</si>
  <si>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</si>
  <si>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</si>
  <si>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</si>
  <si>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</si>
  <si>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</si>
  <si>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</si>
  <si>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</si>
  <si>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</si>
  <si>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</si>
  <si>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</si>
  <si>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</si>
  <si>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</si>
  <si>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</si>
  <si>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</si>
  <si>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</si>
  <si>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</si>
  <si>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</si>
  <si>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</si>
  <si>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</si>
  <si>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</si>
  <si>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</si>
  <si>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</si>
  <si>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</si>
  <si>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</si>
  <si>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</si>
  <si>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</si>
  <si>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</si>
  <si>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</si>
  <si>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</si>
  <si>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</si>
  <si>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</si>
  <si>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</si>
  <si>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</si>
  <si>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</si>
  <si>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</si>
  <si>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</si>
  <si>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</si>
  <si>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</si>
  <si>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</si>
  <si>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</si>
  <si>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</si>
  <si>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</si>
  <si>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</si>
  <si>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</si>
  <si>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</si>
  <si>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</si>
  <si>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</si>
  <si>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</si>
  <si>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</si>
  <si>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</si>
  <si>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</si>
  <si>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</si>
  <si>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</si>
  <si>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</si>
  <si>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</si>
  <si>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</si>
  <si>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</si>
  <si>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</si>
  <si>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</si>
  <si>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</si>
  <si>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</si>
  <si>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</si>
  <si>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</si>
  <si>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</si>
  <si>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</si>
  <si>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</si>
  <si>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</si>
  <si>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</si>
  <si>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</si>
  <si>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</si>
  <si>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</si>
  <si>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</si>
  <si>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</si>
  <si>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</si>
  <si>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</si>
  <si>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</si>
  <si>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</si>
  <si>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</si>
  <si>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</si>
  <si>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</si>
  <si>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</si>
  <si>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</si>
  <si>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</si>
  <si>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</si>
  <si>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</si>
  <si>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</si>
  <si>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</si>
  <si>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</si>
  <si>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</si>
  <si>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</si>
  <si>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</si>
  <si>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</si>
  <si>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</si>
  <si>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</si>
  <si>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</si>
  <si>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</si>
  <si>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</si>
  <si>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</si>
  <si>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</si>
  <si>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</si>
  <si>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</si>
  <si>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</si>
  <si>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</si>
  <si>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</si>
  <si>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</si>
  <si>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</si>
  <si>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</si>
  <si>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</si>
  <si>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</si>
  <si>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</si>
  <si>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</si>
  <si>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</si>
  <si>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</si>
  <si>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</si>
  <si>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</si>
  <si>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</si>
  <si>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</si>
  <si>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</si>
  <si>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</si>
  <si>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</si>
  <si>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</si>
  <si>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</si>
  <si>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</si>
  <si>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</si>
  <si>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</si>
  <si>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</si>
  <si>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</si>
  <si>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</si>
  <si>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</si>
  <si>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</si>
  <si>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</si>
  <si>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</si>
  <si>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</si>
  <si>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</si>
  <si>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</si>
  <si>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</si>
  <si>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</si>
  <si>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</si>
  <si>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</si>
  <si>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</si>
  <si>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</si>
  <si>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</si>
  <si>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</si>
  <si>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</si>
  <si>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</si>
  <si>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</si>
  <si>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</si>
  <si>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</si>
  <si>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</si>
  <si>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</si>
  <si>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</si>
  <si>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</si>
  <si>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</si>
  <si>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</si>
  <si>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</si>
  <si>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</si>
  <si>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</si>
  <si>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</si>
  <si>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</si>
  <si>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</si>
  <si>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</si>
  <si>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</si>
  <si>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</si>
  <si>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</si>
  <si>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</si>
  <si>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</si>
  <si>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</si>
  <si>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</si>
  <si>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</si>
  <si>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</si>
  <si>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</si>
  <si>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</si>
  <si>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</si>
  <si>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</si>
  <si>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</si>
  <si>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</si>
  <si>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</si>
  <si>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</si>
  <si>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</si>
  <si>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</si>
  <si>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</si>
  <si>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</si>
  <si>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</si>
  <si>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</si>
  <si>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</si>
  <si>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</si>
  <si>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</si>
  <si>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</si>
  <si>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</si>
  <si>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</si>
  <si>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</si>
  <si>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</si>
  <si>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</si>
  <si>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</si>
  <si>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</si>
  <si>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</si>
  <si>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</si>
  <si>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</si>
  <si>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</si>
  <si>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</si>
  <si>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</si>
  <si>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</si>
  <si>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</si>
  <si>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</si>
  <si>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</si>
  <si>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</si>
  <si>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</si>
  <si>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</si>
  <si>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</si>
  <si>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</si>
  <si>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</si>
  <si>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</si>
  <si>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</si>
  <si>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</si>
  <si>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</si>
  <si>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</si>
  <si>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</si>
  <si>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</si>
  <si>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</si>
  <si>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</si>
  <si>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</si>
  <si>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</si>
  <si>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</si>
  <si>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</si>
  <si>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</si>
  <si>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</si>
  <si>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</si>
  <si>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</si>
  <si>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</si>
  <si>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</si>
  <si>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</si>
  <si>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</si>
  <si>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</si>
  <si>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</si>
  <si>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</si>
  <si>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</si>
  <si>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</si>
  <si>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</si>
  <si>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</si>
  <si>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</si>
  <si>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</si>
  <si>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</si>
  <si>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</si>
  <si>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</si>
  <si>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</si>
  <si>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</si>
  <si>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</si>
  <si>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</si>
  <si>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</si>
  <si>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</si>
  <si>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</si>
  <si>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</si>
  <si>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</si>
  <si>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</si>
  <si>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</si>
  <si>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</si>
  <si>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</si>
  <si>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</si>
  <si>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</si>
  <si>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</si>
  <si>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</si>
  <si>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</si>
  <si>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</si>
  <si>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</si>
  <si>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</si>
  <si>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</si>
  <si>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</si>
  <si>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</si>
  <si>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</si>
  <si>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</si>
  <si>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</si>
  <si>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</si>
  <si>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</si>
  <si>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</si>
  <si>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</si>
  <si>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</si>
  <si>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</si>
  <si>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</si>
  <si>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</si>
  <si>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</si>
  <si>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</si>
  <si>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</si>
  <si>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</si>
  <si>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</si>
  <si>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</si>
  <si>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</si>
  <si>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</si>
  <si>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</si>
  <si>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</si>
  <si>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</si>
  <si>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</si>
  <si>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</si>
  <si>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</si>
  <si>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</si>
  <si>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</si>
  <si>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</si>
  <si>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</si>
  <si>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</si>
  <si>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</si>
  <si>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</si>
  <si>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</si>
  <si>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</si>
  <si>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</si>
  <si>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</si>
  <si>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</si>
  <si>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</si>
  <si>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</si>
  <si>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</si>
  <si>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</si>
  <si>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</si>
  <si>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</si>
  <si>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</si>
  <si>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</si>
  <si>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</si>
  <si>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</si>
  <si>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</si>
  <si>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</si>
  <si>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</si>
  <si>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</si>
  <si>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</si>
  <si>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</si>
  <si>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</si>
  <si>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</si>
  <si>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</si>
  <si>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</si>
  <si>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</si>
  <si>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</si>
  <si>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</si>
  <si>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</si>
  <si>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</si>
  <si>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</si>
  <si>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</si>
  <si>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</si>
  <si>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</si>
  <si>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</si>
  <si>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</si>
  <si>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</si>
  <si>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</si>
  <si>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</si>
  <si>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</si>
  <si>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</si>
  <si>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</si>
  <si>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</si>
  <si>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</si>
  <si>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</si>
  <si>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</si>
  <si>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</si>
  <si>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</si>
  <si>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</si>
  <si>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</si>
  <si>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</si>
  <si>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</si>
  <si>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</si>
  <si>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</si>
  <si>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</si>
  <si>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</si>
  <si>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</si>
  <si>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</si>
  <si>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</si>
  <si>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</si>
  <si>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</si>
  <si>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</si>
  <si>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</si>
  <si>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</si>
  <si>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</si>
  <si>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</si>
  <si>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</si>
  <si>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</si>
  <si>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</si>
  <si>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</si>
  <si>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</si>
  <si>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</si>
  <si>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</si>
  <si>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</si>
  <si>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</si>
  <si>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</si>
  <si>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</si>
  <si>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</si>
  <si>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</si>
  <si>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</si>
  <si>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</si>
  <si>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</si>
  <si>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</si>
  <si>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</si>
  <si>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</si>
  <si>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</si>
  <si>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</si>
  <si>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</si>
  <si>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</si>
  <si>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</si>
  <si>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</si>
  <si>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</si>
  <si>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</si>
  <si>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</si>
  <si>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</si>
  <si>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</si>
  <si>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</si>
  <si>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</si>
  <si>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</si>
  <si>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</si>
  <si>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</si>
  <si>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</si>
  <si>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</si>
  <si>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</si>
  <si>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</si>
  <si>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</si>
  <si>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</si>
  <si>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</si>
  <si>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</si>
  <si>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</si>
  <si>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</si>
  <si>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</si>
  <si>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</si>
  <si>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</si>
  <si>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</si>
  <si>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</si>
  <si>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</si>
  <si>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</si>
  <si>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</si>
  <si>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</si>
  <si>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</si>
  <si>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</si>
  <si>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</si>
  <si>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</si>
  <si>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</si>
  <si>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</si>
  <si>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</si>
  <si>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</si>
  <si>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</si>
  <si>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</si>
  <si>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</si>
  <si>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</si>
  <si>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</si>
  <si>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</si>
  <si>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</si>
  <si>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</si>
  <si>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</si>
  <si>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</si>
  <si>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</si>
  <si>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</si>
  <si>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</si>
  <si>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</si>
  <si>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</si>
  <si>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</si>
  <si>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</si>
  <si>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</si>
  <si>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</si>
  <si>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</si>
  <si>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</si>
  <si>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</si>
  <si>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</si>
  <si>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</si>
  <si>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</si>
  <si>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</si>
  <si>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</si>
  <si>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</si>
  <si>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</si>
  <si>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</si>
  <si>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</si>
  <si>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</si>
  <si>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</si>
  <si>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</si>
  <si>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</si>
  <si>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</si>
  <si>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</si>
  <si>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</si>
  <si>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</si>
  <si>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</si>
  <si>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</si>
  <si>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</si>
  <si>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</si>
  <si>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</si>
  <si>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</si>
  <si>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</si>
  <si>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</si>
  <si>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</si>
  <si>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</si>
  <si>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</si>
  <si>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</si>
  <si>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</si>
  <si>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</si>
  <si>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</si>
  <si>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</si>
  <si>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</si>
  <si>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</si>
  <si>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</si>
  <si>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</si>
  <si>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</si>
  <si>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</si>
  <si>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</si>
  <si>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</si>
  <si>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</si>
  <si>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</si>
  <si>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</si>
  <si>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</si>
  <si>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</si>
  <si>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</si>
  <si>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</si>
  <si>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</si>
  <si>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</si>
  <si>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</si>
  <si>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</si>
  <si>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</si>
  <si>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</si>
  <si>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</si>
  <si>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</si>
  <si>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</si>
  <si>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</si>
  <si>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</si>
  <si>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</si>
  <si>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</si>
  <si>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</si>
  <si>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</si>
  <si>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</si>
  <si>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</si>
  <si>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</si>
  <si>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</si>
  <si>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</si>
  <si>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</si>
  <si>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</si>
  <si>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</si>
  <si>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</si>
  <si>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</si>
  <si>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</si>
  <si>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</si>
  <si>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</si>
  <si>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</si>
  <si>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</si>
  <si>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</si>
  <si>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</si>
  <si>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</si>
  <si>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</si>
  <si>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</si>
  <si>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</si>
  <si>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</si>
  <si>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</si>
  <si>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</si>
  <si>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</si>
  <si>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</si>
  <si>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</si>
  <si>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</si>
  <si>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</si>
  <si>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</si>
  <si>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</si>
  <si>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</si>
  <si>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</si>
  <si>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</si>
  <si>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</si>
  <si>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</si>
  <si>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</si>
  <si>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</si>
  <si>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</si>
  <si>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</si>
  <si>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</si>
  <si>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</si>
  <si>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</si>
  <si>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</si>
  <si>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</si>
  <si>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</si>
  <si>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</si>
  <si>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</si>
  <si>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</si>
  <si>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</si>
  <si>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</si>
  <si>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</si>
  <si>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</si>
  <si>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</si>
  <si>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</si>
  <si>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</si>
  <si>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</si>
  <si>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</si>
  <si>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</si>
  <si>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</si>
  <si>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</si>
  <si>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</si>
  <si>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</si>
  <si>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</si>
  <si>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</si>
  <si>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</si>
  <si>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</si>
  <si>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</si>
  <si>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</si>
  <si>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</si>
  <si>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</si>
  <si>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</si>
  <si>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</si>
  <si>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</si>
  <si>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</si>
  <si>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</si>
  <si>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</si>
  <si>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</si>
  <si>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</si>
  <si>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</si>
  <si>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</si>
  <si>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</si>
  <si>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</si>
  <si>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</si>
  <si>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</si>
  <si>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</si>
  <si>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</si>
  <si>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</si>
  <si>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</si>
  <si>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</si>
  <si>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</si>
  <si>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</si>
  <si>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</si>
  <si>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</si>
  <si>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</si>
  <si>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</si>
  <si>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</si>
  <si>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</si>
  <si>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</si>
  <si>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</si>
  <si>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</si>
  <si>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</si>
  <si>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</si>
  <si>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</si>
  <si>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</si>
  <si>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</si>
  <si>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</si>
  <si>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</si>
  <si>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</si>
  <si>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</si>
  <si>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</si>
  <si>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</si>
  <si>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</si>
  <si>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</si>
  <si>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</si>
  <si>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</si>
  <si>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</si>
  <si>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</si>
  <si>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</si>
  <si>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</si>
  <si>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</si>
  <si>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</si>
  <si>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</si>
  <si>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</si>
  <si>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</si>
  <si>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</si>
  <si>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</si>
  <si>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</si>
  <si>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</si>
  <si>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</si>
  <si>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</si>
  <si>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</si>
  <si>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</si>
  <si>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</si>
  <si>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</si>
  <si>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</si>
  <si>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</si>
  <si>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</si>
  <si>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</si>
  <si>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</si>
  <si>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</si>
  <si>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</si>
  <si>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</si>
  <si>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</si>
  <si>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</si>
  <si>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</si>
  <si>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</si>
  <si>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</si>
  <si>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</si>
  <si>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</si>
  <si>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</si>
  <si>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</si>
  <si>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</si>
  <si>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</si>
  <si>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</si>
  <si>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</si>
  <si>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</si>
  <si>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</si>
  <si>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</si>
  <si>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</si>
  <si>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</si>
  <si>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</si>
  <si>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</si>
  <si>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</si>
  <si>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</si>
  <si>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</si>
  <si>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</si>
  <si>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</si>
  <si>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</si>
  <si>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</si>
  <si>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</si>
  <si>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</si>
  <si>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</si>
  <si>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</si>
  <si>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</si>
  <si>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</si>
  <si>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</si>
  <si>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</si>
  <si>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</si>
  <si>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</si>
  <si>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</si>
  <si>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</si>
  <si>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</si>
  <si>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</si>
  <si>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</si>
  <si>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</si>
  <si>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</si>
  <si>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</si>
  <si>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</si>
  <si>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</si>
  <si>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</si>
  <si>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</si>
  <si>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</si>
  <si>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</si>
  <si>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</si>
  <si>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</si>
  <si>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</si>
  <si>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</si>
  <si>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</si>
  <si>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</si>
  <si>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</si>
  <si>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</si>
  <si>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</si>
  <si>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</si>
  <si>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</si>
  <si>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</si>
  <si>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</si>
  <si>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</si>
  <si>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</si>
  <si>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</si>
  <si>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</si>
  <si>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</si>
  <si>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</si>
  <si>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</si>
  <si>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</si>
  <si>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</si>
  <si>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</si>
  <si>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</si>
  <si>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</si>
  <si>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</si>
  <si>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</si>
  <si>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</si>
  <si>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</si>
  <si>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</si>
  <si>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</si>
  <si>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</si>
  <si>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</si>
  <si>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</si>
  <si>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</si>
  <si>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</si>
  <si>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</si>
  <si>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</si>
  <si>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</si>
  <si>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</si>
  <si>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</si>
  <si>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</si>
  <si>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</si>
  <si>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</si>
  <si>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</si>
  <si>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</si>
  <si>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</si>
  <si>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</si>
  <si>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</si>
  <si>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</si>
  <si>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</si>
  <si>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</si>
  <si>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</si>
  <si>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</si>
  <si>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</si>
  <si>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</si>
  <si>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</si>
  <si>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</si>
  <si>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</si>
  <si>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</si>
  <si>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</si>
  <si>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</si>
  <si>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</si>
  <si>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</si>
  <si>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</si>
  <si>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</si>
  <si>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</si>
  <si>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</si>
  <si>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</si>
  <si>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</si>
  <si>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</si>
  <si>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</si>
  <si>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</si>
  <si>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</si>
  <si>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</si>
  <si>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</si>
  <si>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</si>
  <si>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</si>
  <si>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</si>
  <si>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</si>
  <si>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</si>
  <si>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</si>
  <si>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</si>
  <si>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</si>
  <si>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</si>
  <si>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</si>
  <si>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</si>
  <si>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</si>
  <si>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</si>
  <si>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</si>
  <si>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</si>
  <si>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</si>
  <si>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</si>
  <si>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</si>
  <si>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</si>
  <si>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</si>
  <si>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</si>
  <si>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</si>
  <si>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</si>
  <si>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</si>
  <si>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</si>
  <si>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</si>
  <si>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</si>
  <si>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</si>
  <si>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</si>
  <si>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</si>
  <si>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</si>
  <si>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</si>
  <si>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</si>
  <si>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</si>
  <si>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</si>
  <si>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</si>
  <si>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</si>
  <si>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</si>
  <si>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</si>
  <si>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</si>
  <si>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</si>
  <si>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</si>
  <si>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</si>
  <si>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</si>
  <si>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</si>
  <si>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</si>
  <si>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</si>
  <si>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</si>
  <si>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</si>
  <si>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</si>
  <si>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</si>
  <si>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</si>
  <si>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</si>
  <si>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</si>
  <si>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</si>
  <si>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</si>
  <si>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</si>
  <si>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</si>
  <si>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</si>
  <si>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</si>
  <si>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</si>
  <si>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</si>
  <si>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</si>
  <si>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</si>
  <si>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</si>
  <si>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</si>
  <si>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</si>
  <si>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</si>
  <si>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</si>
  <si>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</si>
  <si>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</si>
  <si>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</si>
  <si>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</si>
  <si>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</si>
  <si>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</si>
  <si>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</si>
  <si>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</si>
  <si>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</si>
  <si>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</si>
  <si>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</si>
  <si>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</si>
  <si>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</si>
  <si>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</si>
  <si>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</si>
  <si>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</si>
  <si>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</si>
  <si>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</si>
  <si>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</si>
  <si>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</si>
  <si>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</si>
  <si>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</si>
  <si>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</si>
  <si>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</si>
  <si>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</si>
  <si>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</si>
  <si>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</si>
  <si>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</si>
  <si>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</si>
  <si>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</si>
  <si>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</si>
  <si>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</si>
  <si>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</si>
  <si>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</si>
  <si>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</si>
  <si>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</si>
  <si>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</si>
  <si>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</si>
  <si>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</si>
  <si>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</si>
  <si>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</si>
  <si>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</si>
  <si>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</si>
  <si>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</si>
  <si>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</si>
  <si>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</si>
  <si>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</si>
  <si>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</si>
  <si>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</si>
  <si>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</si>
  <si>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</si>
  <si>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</si>
  <si>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</si>
  <si>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</si>
  <si>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</si>
  <si>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</si>
  <si>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</si>
  <si>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</si>
  <si>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</si>
  <si>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</si>
  <si>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</si>
  <si>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</si>
  <si>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</si>
  <si>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</si>
  <si>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</si>
  <si>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</si>
  <si>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</si>
  <si>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</si>
  <si>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</si>
  <si>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</si>
  <si>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</si>
  <si>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</si>
  <si>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</si>
  <si>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</si>
  <si>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</si>
  <si>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</si>
  <si>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</si>
  <si>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</si>
  <si>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</si>
  <si>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</si>
  <si>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</si>
  <si>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</si>
  <si>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</si>
  <si>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</si>
  <si>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</si>
  <si>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</si>
  <si>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</si>
  <si>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</si>
  <si>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</si>
  <si>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</si>
  <si>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</si>
  <si>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</si>
  <si>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</si>
  <si>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</si>
  <si>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</si>
  <si>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</si>
  <si>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</si>
  <si>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</si>
  <si>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</si>
  <si>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</si>
  <si>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</si>
  <si>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</si>
  <si>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</si>
  <si>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</si>
  <si>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</si>
  <si>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</si>
  <si>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</si>
  <si>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</si>
  <si>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</si>
  <si>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</si>
  <si>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</si>
  <si>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</si>
  <si>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</si>
  <si>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</si>
  <si>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</si>
  <si>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</si>
  <si>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</si>
  <si>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</si>
  <si>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</si>
  <si>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</si>
  <si>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</si>
  <si>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</si>
  <si>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</si>
  <si>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</si>
  <si>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</si>
  <si>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</si>
  <si>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</si>
  <si>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</si>
  <si>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</si>
  <si>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</si>
  <si>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</si>
  <si>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</si>
  <si>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</si>
  <si>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</si>
  <si>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</si>
  <si>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</si>
  <si>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</si>
  <si>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</si>
  <si>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</si>
  <si>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</si>
  <si>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</si>
  <si>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</si>
  <si>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</si>
  <si>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</si>
  <si>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</si>
  <si>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</si>
  <si>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</si>
  <si>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</si>
  <si>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</si>
  <si>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</si>
  <si>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</si>
  <si>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</si>
  <si>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</si>
  <si>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</si>
  <si>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</si>
  <si>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</si>
  <si>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</si>
  <si>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</si>
  <si>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</si>
  <si>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</si>
  <si>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</si>
  <si>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</si>
  <si>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</si>
  <si>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</si>
  <si>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</si>
  <si>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</si>
  <si>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</si>
  <si>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</si>
  <si>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</si>
  <si>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</si>
  <si>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</si>
  <si>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</si>
  <si>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</si>
  <si>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</si>
  <si>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</si>
  <si>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</si>
  <si>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</si>
  <si>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</si>
  <si>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</si>
  <si>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</si>
  <si>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</si>
  <si>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</si>
  <si>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</si>
  <si>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</si>
  <si>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</si>
  <si>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</si>
  <si>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</si>
  <si>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</si>
  <si>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</si>
  <si>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</si>
  <si>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</si>
  <si>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</si>
  <si>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</si>
  <si>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</si>
  <si>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</si>
  <si>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</si>
  <si>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</si>
  <si>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</si>
  <si>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</si>
  <si>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</si>
  <si>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</si>
  <si>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</si>
  <si>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</si>
  <si>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</si>
  <si>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</si>
  <si>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</si>
  <si>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</si>
  <si>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</si>
  <si>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</si>
  <si>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</si>
  <si>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</si>
  <si>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</si>
  <si>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</si>
  <si>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</si>
  <si>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</si>
  <si>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</si>
  <si>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</si>
  <si>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</si>
  <si>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</si>
  <si>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</si>
  <si>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</si>
  <si>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</si>
  <si>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</si>
  <si>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</si>
  <si>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</si>
  <si>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</si>
  <si>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</si>
  <si>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</si>
  <si>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</si>
  <si>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</si>
  <si>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</si>
  <si>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</si>
  <si>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</si>
  <si>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</si>
  <si>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</si>
  <si>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</si>
  <si>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</si>
  <si>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</si>
  <si>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</si>
  <si>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</si>
  <si>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</si>
  <si>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</si>
  <si>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</si>
  <si>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</si>
  <si>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</si>
  <si>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</si>
  <si>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</si>
  <si>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</si>
  <si>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</si>
  <si>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</si>
  <si>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</si>
  <si>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</si>
  <si>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</si>
  <si>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</si>
  <si>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</si>
  <si>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</si>
  <si>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</si>
  <si>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</si>
  <si>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</si>
  <si>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</si>
  <si>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</si>
  <si>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</si>
  <si>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</si>
  <si>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</si>
  <si>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</si>
  <si>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</si>
  <si>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</si>
  <si>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</si>
  <si>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</si>
  <si>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</si>
  <si>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</si>
  <si>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</si>
  <si>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</si>
  <si>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</si>
  <si>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</si>
  <si>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</si>
  <si>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</si>
  <si>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</si>
  <si>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</si>
  <si>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</si>
  <si>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</si>
  <si>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</si>
  <si>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</si>
  <si>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</si>
  <si>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</si>
  <si>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</si>
  <si>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</si>
  <si>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</si>
  <si>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Items Sold</t>
  </si>
  <si>
    <t>Average Rating</t>
  </si>
  <si>
    <t>KPI's Requirements</t>
  </si>
  <si>
    <t>Row Labels</t>
  </si>
  <si>
    <t>Grand Total</t>
  </si>
  <si>
    <t>Total Sales by Fat Content</t>
  </si>
  <si>
    <t>Column Labels</t>
  </si>
  <si>
    <t>Total Sales by Item Type</t>
  </si>
  <si>
    <t>Fat Content by Outlet Location Type</t>
  </si>
  <si>
    <t>Business Requirements</t>
  </si>
  <si>
    <t>Total Sales by Outlet Establishment</t>
  </si>
  <si>
    <t>Total Sales by Outlet Size</t>
  </si>
  <si>
    <t>Outlet Location</t>
  </si>
  <si>
    <t>Total Sales by Outlet Location</t>
  </si>
  <si>
    <t>Avg Sales</t>
  </si>
  <si>
    <t>Count of Item Identifier</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</si>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</sst>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M&quot;"/>
    <numFmt numFmtId="165" formatCode="&quot;$&quot;0.00&quot;M&quot;"/>
    <numFmt numFmtId="166" formatCode="0.0"/>
    <numFmt numFmtId="167" formatCode="&quot;$&quot;0.00,&quot;K&quot;"/>
    <numFmt numFmtId="168" formatCode="&quot;$&quot;0.0,&quot;K&quot;"/>
    <numFmt numFmtId="169"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6"/>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2" xfId="0" applyBorder="1"/>
    <xf numFmtId="0" fontId="0" fillId="0" borderId="13" xfId="0" applyBorder="1"/>
    <xf numFmtId="0" fontId="0" fillId="0" borderId="14" xfId="0" applyBorder="1"/>
    <xf numFmtId="164" fontId="0" fillId="0" borderId="13" xfId="0" applyNumberFormat="1" applyBorder="1"/>
    <xf numFmtId="165" fontId="0" fillId="0" borderId="0" xfId="0" applyNumberFormat="1"/>
    <xf numFmtId="166" fontId="0" fillId="0" borderId="0" xfId="0" applyNumberFormat="1"/>
    <xf numFmtId="0" fontId="0" fillId="0" borderId="15" xfId="0" applyBorder="1"/>
    <xf numFmtId="0" fontId="0" fillId="0" borderId="16" xfId="0" applyBorder="1"/>
    <xf numFmtId="0" fontId="0" fillId="0" borderId="17" xfId="0" applyBorder="1"/>
    <xf numFmtId="0" fontId="0" fillId="0" borderId="19" xfId="0" applyBorder="1" applyAlignment="1">
      <alignment horizontal="left"/>
    </xf>
    <xf numFmtId="167" fontId="0" fillId="0" borderId="20" xfId="0" applyNumberFormat="1" applyBorder="1"/>
    <xf numFmtId="168" fontId="0" fillId="0" borderId="10" xfId="0" applyNumberFormat="1" applyBorder="1"/>
    <xf numFmtId="168" fontId="0" fillId="0" borderId="12" xfId="0" applyNumberFormat="1" applyBorder="1"/>
    <xf numFmtId="168" fontId="0" fillId="0" borderId="13" xfId="0" applyNumberFormat="1" applyBorder="1"/>
    <xf numFmtId="168" fontId="0" fillId="0" borderId="14" xfId="0" applyNumberFormat="1" applyBorder="1"/>
    <xf numFmtId="168" fontId="0" fillId="0" borderId="15" xfId="0" applyNumberFormat="1" applyBorder="1"/>
    <xf numFmtId="168" fontId="0" fillId="0" borderId="17" xfId="0" applyNumberFormat="1" applyBorder="1"/>
    <xf numFmtId="0" fontId="0" fillId="0" borderId="18" xfId="0" applyBorder="1"/>
    <xf numFmtId="167" fontId="0" fillId="0" borderId="22" xfId="0" applyNumberFormat="1" applyBorder="1"/>
    <xf numFmtId="167" fontId="0" fillId="0" borderId="19" xfId="0" applyNumberFormat="1" applyBorder="1"/>
    <xf numFmtId="0" fontId="0" fillId="0" borderId="21" xfId="0" applyBorder="1"/>
    <xf numFmtId="0" fontId="0" fillId="0" borderId="21" xfId="0" applyBorder="1" applyAlignment="1">
      <alignment horizontal="left"/>
    </xf>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18" fillId="33" borderId="13"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0" fillId="0" borderId="0" xfId="0" applyBorder="1"/>
    <xf numFmtId="0" fontId="0" fillId="0" borderId="10" xfId="0" applyBorder="1"/>
    <xf numFmtId="0" fontId="0" fillId="0" borderId="19" xfId="0" applyNumberFormat="1" applyBorder="1"/>
    <xf numFmtId="169" fontId="0" fillId="0" borderId="22" xfId="0" applyNumberFormat="1" applyBorder="1"/>
    <xf numFmtId="169" fontId="0" fillId="0" borderId="20" xfId="0" applyNumberFormat="1" applyBorder="1"/>
    <xf numFmtId="169" fontId="0" fillId="0" borderId="19" xfId="0" applyNumberFormat="1" applyBorder="1"/>
    <xf numFmtId="0" fontId="18" fillId="33" borderId="0" xfId="0" applyFont="1" applyFill="1" applyBorder="1" applyAlignment="1">
      <alignment horizontal="center"/>
    </xf>
    <xf numFmtId="0" fontId="0" fillId="0" borderId="22" xfId="0" pivotButton="1" applyBorder="1"/>
    <xf numFmtId="0" fontId="0" fillId="0" borderId="20" xfId="0" applyBorder="1" applyAlignment="1">
      <alignment horizontal="left"/>
    </xf>
    <xf numFmtId="1" fontId="0" fillId="0" borderId="22" xfId="0" applyNumberFormat="1" applyBorder="1"/>
    <xf numFmtId="1" fontId="0" fillId="0" borderId="20" xfId="0" applyNumberFormat="1" applyBorder="1"/>
    <xf numFmtId="1" fontId="0" fillId="0" borderId="19" xfId="0" applyNumberFormat="1" applyBorder="1"/>
    <xf numFmtId="0" fontId="0" fillId="0" borderId="11" xfId="0" applyBorder="1"/>
    <xf numFmtId="0" fontId="18" fillId="33" borderId="15" xfId="0" applyFont="1" applyFill="1" applyBorder="1" applyAlignment="1">
      <alignment horizontal="center"/>
    </xf>
    <xf numFmtId="0" fontId="18" fillId="33" borderId="16" xfId="0" applyFont="1" applyFill="1" applyBorder="1" applyAlignment="1">
      <alignment horizontal="center"/>
    </xf>
    <xf numFmtId="0" fontId="0" fillId="0" borderId="21" xfId="0" pivotButton="1" applyBorder="1"/>
    <xf numFmtId="0" fontId="0" fillId="0" borderId="23" xfId="0" applyNumberFormat="1" applyBorder="1"/>
    <xf numFmtId="0" fontId="0" fillId="0" borderId="24" xfId="0" applyNumberFormat="1" applyBorder="1"/>
    <xf numFmtId="0" fontId="0" fillId="0" borderId="18" xfId="0" applyNumberFormat="1" applyBorder="1"/>
    <xf numFmtId="0" fontId="0" fillId="0" borderId="23" xfId="0" applyBorder="1"/>
    <xf numFmtId="0" fontId="0" fillId="0" borderId="24" xfId="0" applyBorder="1"/>
    <xf numFmtId="0" fontId="0" fillId="0" borderId="22"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2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 formatCode="0"/>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numFmt numFmtId="167" formatCode="&quot;$&quot;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numFmt numFmtId="167" formatCode="&quot;$&quot;0.00,&quot;K&quot;"/>
    </dxf>
    <dxf>
      <numFmt numFmtId="167" formatCode="&quot;$&quot;0.00,&quot;K&quot;"/>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73C8680E-DA19-41EA-AF87-6BB020CDC029}">
      <tableStyleElement type="wholeTable" dxfId="1147"/>
      <tableStyleElement type="headerRow" dxfId="1146"/>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6F-4397-A6A9-AABF4DCC90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6F-4397-A6A9-AABF4DCC90AD}"/>
              </c:ext>
            </c:extLst>
          </c:dPt>
          <c:cat>
            <c:strRef>
              <c:f>'Sheet Design'!$A$12:$A$14</c:f>
              <c:strCache>
                <c:ptCount val="2"/>
                <c:pt idx="0">
                  <c:v>Low Fat</c:v>
                </c:pt>
                <c:pt idx="1">
                  <c:v>Regular</c:v>
                </c:pt>
              </c:strCache>
            </c:strRef>
          </c:cat>
          <c:val>
            <c:numRef>
              <c:f>'Sheet Design'!$B$12:$B$14</c:f>
              <c:numCache>
                <c:formatCode>"$"0.00,"K"</c:formatCode>
                <c:ptCount val="2"/>
                <c:pt idx="0">
                  <c:v>776319.68840000057</c:v>
                </c:pt>
                <c:pt idx="1">
                  <c:v>425361.8043999995</c:v>
                </c:pt>
              </c:numCache>
            </c:numRef>
          </c:val>
          <c:extLst>
            <c:ext xmlns:c16="http://schemas.microsoft.com/office/drawing/2014/chart" uri="{C3380CC4-5D6E-409C-BE32-E72D297353CC}">
              <c16:uniqueId val="{00000000-365B-4178-84C7-6CD3DBE913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4.5647906683241007E-2"/>
              <c:y val="4.5556395007199492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49816312667417"/>
                  <c:h val="9.9095472916204769E-2"/>
                </c:manualLayout>
              </c15:layout>
            </c:ext>
          </c:extLst>
        </c:dLbl>
      </c:pivotFmt>
      <c:pivotFmt>
        <c:idx val="3"/>
        <c:spPr>
          <a:solidFill>
            <a:schemeClr val="accent2"/>
          </a:solidFill>
          <a:ln>
            <a:noFill/>
          </a:ln>
          <a:effectLst/>
        </c:spPr>
        <c:dLbl>
          <c:idx val="0"/>
          <c:layout>
            <c:manualLayout>
              <c:x val="-3.9124760025528817E-2"/>
              <c:y val="3.5874001887229693E-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05210250754386"/>
                  <c:h val="0.10004972136662725"/>
                </c:manualLayout>
              </c15:layout>
            </c:ext>
          </c:extLst>
        </c:dLbl>
      </c:pivotFmt>
      <c:pivotFmt>
        <c:idx val="4"/>
        <c:spPr>
          <a:solidFill>
            <a:schemeClr val="accent1"/>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2604180626133822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9125016751360521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Design'!$G$11:$G$12</c:f>
              <c:strCache>
                <c:ptCount val="1"/>
                <c:pt idx="0">
                  <c:v>Regular</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7-79D1-446F-B46A-E538F4513F2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6-79D1-446F-B46A-E538F4513F2C}"/>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79D1-446F-B46A-E538F4513F2C}"/>
              </c:ext>
            </c:extLst>
          </c:dPt>
          <c:dLbls>
            <c:dLbl>
              <c:idx val="0"/>
              <c:layout>
                <c:manualLayout>
                  <c:x val="-3.26041806261337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D1-446F-B46A-E538F4513F2C}"/>
                </c:ext>
              </c:extLst>
            </c:dLbl>
            <c:dLbl>
              <c:idx val="1"/>
              <c:layout>
                <c:manualLayout>
                  <c:x val="-3.2604180626133822E-2"/>
                  <c:y val="-8.352566951788556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9D1-446F-B46A-E538F4513F2C}"/>
                </c:ext>
              </c:extLst>
            </c:dLbl>
            <c:dLbl>
              <c:idx val="2"/>
              <c:layout>
                <c:manualLayout>
                  <c:x val="-3.26041806261337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D1-446F-B46A-E538F4513F2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Design'!$F$13:$F$15</c:f>
              <c:strCache>
                <c:ptCount val="3"/>
                <c:pt idx="0">
                  <c:v>Tier 1</c:v>
                </c:pt>
                <c:pt idx="1">
                  <c:v>Tier 2</c:v>
                </c:pt>
                <c:pt idx="2">
                  <c:v>Tier 3</c:v>
                </c:pt>
              </c:strCache>
            </c:strRef>
          </c:cat>
          <c:val>
            <c:numRef>
              <c:f>'Sheet Design'!$G$13:$G$15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79D1-446F-B46A-E538F4513F2C}"/>
            </c:ext>
          </c:extLst>
        </c:ser>
        <c:ser>
          <c:idx val="1"/>
          <c:order val="1"/>
          <c:tx>
            <c:strRef>
              <c:f>'Sheet Design'!$H$11:$H$12</c:f>
              <c:strCache>
                <c:ptCount val="1"/>
                <c:pt idx="0">
                  <c:v>Low Fat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79D1-446F-B46A-E538F4513F2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8-79D1-446F-B46A-E538F4513F2C}"/>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79D1-446F-B46A-E538F4513F2C}"/>
              </c:ext>
            </c:extLst>
          </c:dPt>
          <c:dLbls>
            <c:dLbl>
              <c:idx val="0"/>
              <c:layout>
                <c:manualLayout>
                  <c:x val="-3.9124760025528817E-2"/>
                  <c:y val="3.5874001887229693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505210250754386"/>
                      <c:h val="0.10004972136662725"/>
                    </c:manualLayout>
                  </c15:layout>
                </c:ext>
                <c:ext xmlns:c16="http://schemas.microsoft.com/office/drawing/2014/chart" uri="{C3380CC4-5D6E-409C-BE32-E72D297353CC}">
                  <c16:uniqueId val="{00000004-79D1-446F-B46A-E538F4513F2C}"/>
                </c:ext>
              </c:extLst>
            </c:dLbl>
            <c:dLbl>
              <c:idx val="1"/>
              <c:layout>
                <c:manualLayout>
                  <c:x val="-3.9125016751360521E-2"/>
                  <c:y val="-8.352566951788556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9D1-446F-B46A-E538F4513F2C}"/>
                </c:ext>
              </c:extLst>
            </c:dLbl>
            <c:dLbl>
              <c:idx val="2"/>
              <c:layout>
                <c:manualLayout>
                  <c:x val="-4.5647906683241007E-2"/>
                  <c:y val="4.5556395007199492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49816312667417"/>
                      <c:h val="9.9095472916204769E-2"/>
                    </c:manualLayout>
                  </c15:layout>
                </c:ext>
                <c:ext xmlns:c16="http://schemas.microsoft.com/office/drawing/2014/chart" uri="{C3380CC4-5D6E-409C-BE32-E72D297353CC}">
                  <c16:uniqueId val="{00000003-79D1-446F-B46A-E538F4513F2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Design'!$F$13:$F$15</c:f>
              <c:strCache>
                <c:ptCount val="3"/>
                <c:pt idx="0">
                  <c:v>Tier 1</c:v>
                </c:pt>
                <c:pt idx="1">
                  <c:v>Tier 2</c:v>
                </c:pt>
                <c:pt idx="2">
                  <c:v>Tier 3</c:v>
                </c:pt>
              </c:strCache>
            </c:strRef>
          </c:cat>
          <c:val>
            <c:numRef>
              <c:f>'Sheet Design'!$H$13:$H$15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9D1-446F-B46A-E538F4513F2C}"/>
            </c:ext>
          </c:extLst>
        </c:ser>
        <c:dLbls>
          <c:dLblPos val="outEnd"/>
          <c:showLegendKey val="0"/>
          <c:showVal val="1"/>
          <c:showCatName val="0"/>
          <c:showSerName val="0"/>
          <c:showPercent val="0"/>
          <c:showBubbleSize val="0"/>
        </c:dLbls>
        <c:gapWidth val="182"/>
        <c:axId val="601000552"/>
        <c:axId val="601003432"/>
      </c:barChart>
      <c:catAx>
        <c:axId val="601000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003432"/>
        <c:crosses val="autoZero"/>
        <c:auto val="1"/>
        <c:lblAlgn val="ctr"/>
        <c:lblOffset val="100"/>
        <c:noMultiLvlLbl val="0"/>
      </c:catAx>
      <c:valAx>
        <c:axId val="601003432"/>
        <c:scaling>
          <c:orientation val="minMax"/>
        </c:scaling>
        <c:delete val="1"/>
        <c:axPos val="b"/>
        <c:numFmt formatCode="&quot;$&quot;0.0,&quot;K&quot;" sourceLinked="1"/>
        <c:majorTickMark val="out"/>
        <c:minorTickMark val="none"/>
        <c:tickLblPos val="nextTo"/>
        <c:crossAx val="601000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c:f>
              <c:strCache>
                <c:ptCount val="1"/>
                <c:pt idx="0">
                  <c:v>Total</c:v>
                </c:pt>
              </c:strCache>
            </c:strRef>
          </c:tx>
          <c:spPr>
            <a:solidFill>
              <a:schemeClr val="accent1"/>
            </a:solidFill>
            <a:ln>
              <a:noFill/>
            </a:ln>
            <a:effectLst/>
          </c:spPr>
          <c:invertIfNegative val="0"/>
          <c:cat>
            <c:strRef>
              <c:f>'Sheet Design'!$A$22:$A$38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Design'!$B$22:$B$38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127-42C3-8477-8F6094087FBA}"/>
            </c:ext>
          </c:extLst>
        </c:ser>
        <c:dLbls>
          <c:showLegendKey val="0"/>
          <c:showVal val="0"/>
          <c:showCatName val="0"/>
          <c:showSerName val="0"/>
          <c:showPercent val="0"/>
          <c:showBubbleSize val="0"/>
        </c:dLbls>
        <c:gapWidth val="182"/>
        <c:axId val="357444560"/>
        <c:axId val="357443120"/>
      </c:barChart>
      <c:catAx>
        <c:axId val="3574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57443120"/>
        <c:crosses val="autoZero"/>
        <c:auto val="1"/>
        <c:lblAlgn val="ctr"/>
        <c:lblOffset val="100"/>
        <c:noMultiLvlLbl val="0"/>
      </c:catAx>
      <c:valAx>
        <c:axId val="357443120"/>
        <c:scaling>
          <c:orientation val="minMax"/>
        </c:scaling>
        <c:delete val="1"/>
        <c:axPos val="b"/>
        <c:numFmt formatCode="&quot;$&quot;0.00,&quot;K&quot;" sourceLinked="1"/>
        <c:majorTickMark val="none"/>
        <c:minorTickMark val="none"/>
        <c:tickLblPos val="nextTo"/>
        <c:crossAx val="3574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Design'!$J$21</c:f>
              <c:strCache>
                <c:ptCount val="1"/>
                <c:pt idx="0">
                  <c:v>Total</c:v>
                </c:pt>
              </c:strCache>
            </c:strRef>
          </c:tx>
          <c:spPr>
            <a:solidFill>
              <a:schemeClr val="accent1"/>
            </a:solidFill>
            <a:ln>
              <a:noFill/>
            </a:ln>
            <a:effectLst/>
          </c:spPr>
          <c:cat>
            <c:strRef>
              <c:f>'Sheet Design'!$I$22:$I$31</c:f>
              <c:strCache>
                <c:ptCount val="9"/>
                <c:pt idx="0">
                  <c:v>2011</c:v>
                </c:pt>
                <c:pt idx="1">
                  <c:v>2012</c:v>
                </c:pt>
                <c:pt idx="2">
                  <c:v>2014</c:v>
                </c:pt>
                <c:pt idx="3">
                  <c:v>2015</c:v>
                </c:pt>
                <c:pt idx="4">
                  <c:v>2016</c:v>
                </c:pt>
                <c:pt idx="5">
                  <c:v>2017</c:v>
                </c:pt>
                <c:pt idx="6">
                  <c:v>2018</c:v>
                </c:pt>
                <c:pt idx="7">
                  <c:v>2020</c:v>
                </c:pt>
                <c:pt idx="8">
                  <c:v>2022</c:v>
                </c:pt>
              </c:strCache>
            </c:strRef>
          </c:cat>
          <c:val>
            <c:numRef>
              <c:f>'Sheet Design'!$J$22:$J$31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941-4AC5-B7D8-3696301F9DA6}"/>
            </c:ext>
          </c:extLst>
        </c:ser>
        <c:dLbls>
          <c:showLegendKey val="0"/>
          <c:showVal val="0"/>
          <c:showCatName val="0"/>
          <c:showSerName val="0"/>
          <c:showPercent val="0"/>
          <c:showBubbleSize val="0"/>
        </c:dLbls>
        <c:axId val="324551088"/>
        <c:axId val="324558288"/>
      </c:areaChart>
      <c:catAx>
        <c:axId val="32455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24558288"/>
        <c:crosses val="autoZero"/>
        <c:auto val="1"/>
        <c:lblAlgn val="ctr"/>
        <c:lblOffset val="100"/>
        <c:noMultiLvlLbl val="0"/>
      </c:catAx>
      <c:valAx>
        <c:axId val="324558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245510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1-4201-9C4C-9DFEC21199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51-4201-9C4C-9DFEC21199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51-4201-9C4C-9DFEC211995E}"/>
              </c:ext>
            </c:extLst>
          </c:dPt>
          <c:cat>
            <c:strRef>
              <c:f>'Sheet Design'!$L$12:$L$15</c:f>
              <c:strCache>
                <c:ptCount val="3"/>
                <c:pt idx="0">
                  <c:v>High</c:v>
                </c:pt>
                <c:pt idx="1">
                  <c:v>Medium</c:v>
                </c:pt>
                <c:pt idx="2">
                  <c:v>Small</c:v>
                </c:pt>
              </c:strCache>
            </c:strRef>
          </c:cat>
          <c:val>
            <c:numRef>
              <c:f>'Sheet Design'!$M$12:$M$15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4543-43D3-AB7E-C4FF50DCC1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29705445751665"/>
          <c:y val="0.31992984763538246"/>
          <c:w val="0.29028058947096841"/>
          <c:h val="0.509162988826705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Design'!$I$38:$I$42</c:f>
              <c:strCache>
                <c:ptCount val="4"/>
                <c:pt idx="0">
                  <c:v>Grocery Store</c:v>
                </c:pt>
                <c:pt idx="1">
                  <c:v>Supermarket Type3</c:v>
                </c:pt>
                <c:pt idx="2">
                  <c:v>Supermarket Type2</c:v>
                </c:pt>
                <c:pt idx="3">
                  <c:v>Supermarket Type1</c:v>
                </c:pt>
              </c:strCache>
            </c:strRef>
          </c:cat>
          <c:val>
            <c:numRef>
              <c:f>'Sheet Design'!$J$38:$J$42</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1C7-4B12-9DD7-7AD4E69B7A1C}"/>
            </c:ext>
          </c:extLst>
        </c:ser>
        <c:dLbls>
          <c:dLblPos val="outEnd"/>
          <c:showLegendKey val="0"/>
          <c:showVal val="1"/>
          <c:showCatName val="0"/>
          <c:showSerName val="0"/>
          <c:showPercent val="0"/>
          <c:showBubbleSize val="0"/>
        </c:dLbls>
        <c:gapWidth val="182"/>
        <c:axId val="100759520"/>
        <c:axId val="100759880"/>
      </c:barChart>
      <c:catAx>
        <c:axId val="10075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00759880"/>
        <c:crosses val="autoZero"/>
        <c:auto val="1"/>
        <c:lblAlgn val="ctr"/>
        <c:lblOffset val="100"/>
        <c:noMultiLvlLbl val="0"/>
      </c:catAx>
      <c:valAx>
        <c:axId val="100759880"/>
        <c:scaling>
          <c:orientation val="minMax"/>
        </c:scaling>
        <c:delete val="1"/>
        <c:axPos val="b"/>
        <c:numFmt formatCode="&quot;$&quot;0.00,&quot;K&quot;" sourceLinked="1"/>
        <c:majorTickMark val="none"/>
        <c:minorTickMark val="none"/>
        <c:tickLblPos val="nextTo"/>
        <c:crossAx val="1007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Design'!$O$38:$O$42</c:f>
              <c:strCache>
                <c:ptCount val="4"/>
                <c:pt idx="0">
                  <c:v>Grocery Store</c:v>
                </c:pt>
                <c:pt idx="1">
                  <c:v>Supermarket Type3</c:v>
                </c:pt>
                <c:pt idx="2">
                  <c:v>Supermarket Type2</c:v>
                </c:pt>
                <c:pt idx="3">
                  <c:v>Supermarket Type1</c:v>
                </c:pt>
              </c:strCache>
            </c:strRef>
          </c:cat>
          <c:val>
            <c:numRef>
              <c:f>'Sheet Design'!$P$38:$P$42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F6E-4418-B5C2-B2B7E3EC40CC}"/>
            </c:ext>
          </c:extLst>
        </c:ser>
        <c:dLbls>
          <c:dLblPos val="outEnd"/>
          <c:showLegendKey val="0"/>
          <c:showVal val="1"/>
          <c:showCatName val="0"/>
          <c:showSerName val="0"/>
          <c:showPercent val="0"/>
          <c:showBubbleSize val="0"/>
        </c:dLbls>
        <c:gapWidth val="182"/>
        <c:axId val="401236152"/>
        <c:axId val="401236872"/>
      </c:barChart>
      <c:catAx>
        <c:axId val="401236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01236872"/>
        <c:crosses val="autoZero"/>
        <c:auto val="1"/>
        <c:lblAlgn val="ctr"/>
        <c:lblOffset val="100"/>
        <c:noMultiLvlLbl val="0"/>
      </c:catAx>
      <c:valAx>
        <c:axId val="401236872"/>
        <c:scaling>
          <c:orientation val="minMax"/>
        </c:scaling>
        <c:delete val="1"/>
        <c:axPos val="b"/>
        <c:numFmt formatCode="\$0" sourceLinked="1"/>
        <c:majorTickMark val="none"/>
        <c:minorTickMark val="none"/>
        <c:tickLblPos val="nextTo"/>
        <c:crossAx val="401236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Design'!$R$27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Design'!$Q$28:$Q$32</c:f>
              <c:strCache>
                <c:ptCount val="4"/>
                <c:pt idx="0">
                  <c:v>Grocery Store</c:v>
                </c:pt>
                <c:pt idx="1">
                  <c:v>Supermarket Type3</c:v>
                </c:pt>
                <c:pt idx="2">
                  <c:v>Supermarket Type2</c:v>
                </c:pt>
                <c:pt idx="3">
                  <c:v>Supermarket Type1</c:v>
                </c:pt>
              </c:strCache>
            </c:strRef>
          </c:cat>
          <c:val>
            <c:numRef>
              <c:f>'Sheet Design'!$R$28:$R$32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392-4556-8701-999831CB6D6C}"/>
            </c:ext>
          </c:extLst>
        </c:ser>
        <c:dLbls>
          <c:dLblPos val="outEnd"/>
          <c:showLegendKey val="0"/>
          <c:showVal val="1"/>
          <c:showCatName val="0"/>
          <c:showSerName val="0"/>
          <c:showPercent val="0"/>
          <c:showBubbleSize val="0"/>
        </c:dLbls>
        <c:gapWidth val="182"/>
        <c:axId val="572255144"/>
        <c:axId val="572252264"/>
      </c:barChart>
      <c:catAx>
        <c:axId val="572255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572252264"/>
        <c:crosses val="autoZero"/>
        <c:auto val="1"/>
        <c:lblAlgn val="ctr"/>
        <c:lblOffset val="100"/>
        <c:noMultiLvlLbl val="0"/>
      </c:catAx>
      <c:valAx>
        <c:axId val="572252264"/>
        <c:scaling>
          <c:orientation val="minMax"/>
        </c:scaling>
        <c:delete val="1"/>
        <c:axPos val="b"/>
        <c:numFmt formatCode="0" sourceLinked="1"/>
        <c:majorTickMark val="none"/>
        <c:minorTickMark val="none"/>
        <c:tickLblPos val="nextTo"/>
        <c:crossAx val="572255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5.5397240188717174E-2"/>
              <c:y val="0.155342193437202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100086805555553"/>
                  <c:h val="0.18886676954732506"/>
                </c:manualLayout>
              </c15:layout>
            </c:ext>
          </c:extLst>
        </c:dLbl>
      </c:pivotFmt>
      <c:pivotFmt>
        <c:idx val="6"/>
        <c:spPr>
          <a:solidFill>
            <a:schemeClr val="accent6">
              <a:lumMod val="75000"/>
            </a:schemeClr>
          </a:solidFill>
          <a:ln w="19050">
            <a:solidFill>
              <a:schemeClr val="lt1"/>
            </a:solidFill>
          </a:ln>
          <a:effectLst/>
        </c:spPr>
        <c:dLbl>
          <c:idx val="0"/>
          <c:layout>
            <c:manualLayout>
              <c:x val="-0.10497972993982264"/>
              <c:y val="-7.480436756761425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01475694444441"/>
                  <c:h val="0.23459722222222223"/>
                </c:manualLayout>
              </c15:layout>
            </c:ext>
          </c:extLst>
        </c:dLbl>
      </c:pivotFmt>
    </c:pivotFmts>
    <c:plotArea>
      <c:layout>
        <c:manualLayout>
          <c:layoutTarget val="inner"/>
          <c:xMode val="edge"/>
          <c:yMode val="edge"/>
          <c:x val="0.24114539930555556"/>
          <c:y val="0.18953497942386832"/>
          <c:w val="0.59487934027777767"/>
          <c:h val="0.70504218106995875"/>
        </c:manualLayout>
      </c:layout>
      <c:doughnutChart>
        <c:varyColors val="1"/>
        <c:ser>
          <c:idx val="0"/>
          <c:order val="0"/>
          <c:tx>
            <c:strRef>
              <c:f>'Sheet Design'!$B$11</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4161-4C47-9072-27236504707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161-4C47-9072-27236504707D}"/>
              </c:ext>
            </c:extLst>
          </c:dPt>
          <c:dLbls>
            <c:dLbl>
              <c:idx val="0"/>
              <c:layout>
                <c:manualLayout>
                  <c:x val="5.5397240188717174E-2"/>
                  <c:y val="0.155342193437202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100086805555553"/>
                      <c:h val="0.18886676954732506"/>
                    </c:manualLayout>
                  </c15:layout>
                </c:ext>
                <c:ext xmlns:c16="http://schemas.microsoft.com/office/drawing/2014/chart" uri="{C3380CC4-5D6E-409C-BE32-E72D297353CC}">
                  <c16:uniqueId val="{00000001-4161-4C47-9072-27236504707D}"/>
                </c:ext>
              </c:extLst>
            </c:dLbl>
            <c:dLbl>
              <c:idx val="1"/>
              <c:layout>
                <c:manualLayout>
                  <c:x val="-0.10497972993982264"/>
                  <c:y val="-7.480436756761425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501475694444441"/>
                      <c:h val="0.23459722222222223"/>
                    </c:manualLayout>
                  </c15:layout>
                </c:ext>
                <c:ext xmlns:c16="http://schemas.microsoft.com/office/drawing/2014/chart" uri="{C3380CC4-5D6E-409C-BE32-E72D297353CC}">
                  <c16:uniqueId val="{00000003-4161-4C47-9072-27236504707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Design'!$A$12:$A$14</c:f>
              <c:strCache>
                <c:ptCount val="2"/>
                <c:pt idx="0">
                  <c:v>Low Fat</c:v>
                </c:pt>
                <c:pt idx="1">
                  <c:v>Regular</c:v>
                </c:pt>
              </c:strCache>
            </c:strRef>
          </c:cat>
          <c:val>
            <c:numRef>
              <c:f>'Sheet Design'!$B$12:$B$14</c:f>
              <c:numCache>
                <c:formatCode>"$"0.00,"K"</c:formatCode>
                <c:ptCount val="2"/>
                <c:pt idx="0">
                  <c:v>776319.68840000057</c:v>
                </c:pt>
                <c:pt idx="1">
                  <c:v>425361.8043999995</c:v>
                </c:pt>
              </c:numCache>
            </c:numRef>
          </c:val>
          <c:extLst>
            <c:ext xmlns:c16="http://schemas.microsoft.com/office/drawing/2014/chart" uri="{C3380CC4-5D6E-409C-BE32-E72D297353CC}">
              <c16:uniqueId val="{00000004-4161-4C47-9072-27236504707D}"/>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Design!PivotTable4</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4.5647906683241007E-2"/>
              <c:y val="4.5556395007199492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49816312667417"/>
                  <c:h val="9.9095472916204769E-2"/>
                </c:manualLayout>
              </c15:layout>
            </c:ext>
          </c:extLst>
        </c:dLbl>
      </c:pivotFmt>
      <c:pivotFmt>
        <c:idx val="3"/>
        <c:spPr>
          <a:solidFill>
            <a:schemeClr val="accent2"/>
          </a:solidFill>
          <a:ln>
            <a:noFill/>
          </a:ln>
          <a:effectLst/>
        </c:spPr>
        <c:dLbl>
          <c:idx val="0"/>
          <c:layout>
            <c:manualLayout>
              <c:x val="-3.9124760025528817E-2"/>
              <c:y val="3.5874001887229693E-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05210250754386"/>
                  <c:h val="0.10004972136662725"/>
                </c:manualLayout>
              </c15:layout>
            </c:ext>
          </c:extLst>
        </c:dLbl>
      </c:pivotFmt>
      <c:pivotFmt>
        <c:idx val="4"/>
        <c:spPr>
          <a:solidFill>
            <a:schemeClr val="accent1"/>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2604180626133822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3.9125016751360521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3.2604180626133822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3.9124760025528817E-2"/>
              <c:y val="3.5874001887229693E-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05210250754386"/>
                  <c:h val="0.10004972136662725"/>
                </c:manualLayout>
              </c15:layout>
            </c:ext>
          </c:extLst>
        </c:dLbl>
      </c:pivotFmt>
      <c:pivotFmt>
        <c:idx val="14"/>
        <c:spPr>
          <a:solidFill>
            <a:schemeClr val="accent2"/>
          </a:solidFill>
          <a:ln>
            <a:noFill/>
          </a:ln>
          <a:effectLst/>
        </c:spPr>
        <c:dLbl>
          <c:idx val="0"/>
          <c:layout>
            <c:manualLayout>
              <c:x val="-3.9125016751360521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4.5647906683241007E-2"/>
              <c:y val="4.5556395007199492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49816312667417"/>
                  <c:h val="9.9095472916204769E-2"/>
                </c:manualLayout>
              </c15:layout>
            </c:ext>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3.2604180626133822E-2"/>
              <c:y val="-8.3525669517885564E-1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3.2604180626133766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D200"/>
          </a:solidFill>
          <a:ln>
            <a:noFill/>
          </a:ln>
          <a:effectLst/>
        </c:spPr>
        <c:dLbl>
          <c:idx val="0"/>
          <c:layout>
            <c:manualLayout>
              <c:x val="-3.9124760025528817E-2"/>
              <c:y val="3.5874001887229693E-7"/>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505210250754386"/>
                  <c:h val="0.10004972136662725"/>
                </c:manualLayout>
              </c15:layout>
            </c:ext>
          </c:extLst>
        </c:dLbl>
      </c:pivotFmt>
      <c:pivotFmt>
        <c:idx val="22"/>
        <c:spPr>
          <a:solidFill>
            <a:srgbClr val="FFD200"/>
          </a:solidFill>
          <a:ln>
            <a:noFill/>
          </a:ln>
          <a:effectLst/>
        </c:spPr>
        <c:dLbl>
          <c:idx val="0"/>
          <c:layout>
            <c:manualLayout>
              <c:x val="-2.3527962098501158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D200"/>
          </a:solidFill>
          <a:ln>
            <a:noFill/>
          </a:ln>
          <a:effectLst/>
        </c:spPr>
        <c:dLbl>
          <c:idx val="0"/>
          <c:layout>
            <c:manualLayout>
              <c:x val="-4.5647906683241007E-2"/>
              <c:y val="4.5556395007199492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49816312667417"/>
                  <c:h val="9.9095472916204769E-2"/>
                </c:manualLayout>
              </c15:layout>
            </c:ext>
          </c:extLst>
        </c:dLbl>
      </c:pivotFmt>
    </c:pivotFmts>
    <c:plotArea>
      <c:layout/>
      <c:barChart>
        <c:barDir val="bar"/>
        <c:grouping val="clustered"/>
        <c:varyColors val="0"/>
        <c:ser>
          <c:idx val="0"/>
          <c:order val="0"/>
          <c:tx>
            <c:strRef>
              <c:f>'Sheet Design'!$G$11:$G$12</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6FD5-4968-92B6-345A80EF32F3}"/>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6FD5-4968-92B6-345A80EF32F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6FD5-4968-92B6-345A80EF32F3}"/>
              </c:ext>
            </c:extLst>
          </c:dPt>
          <c:dLbls>
            <c:dLbl>
              <c:idx val="0"/>
              <c:layout>
                <c:manualLayout>
                  <c:x val="-3.26041806261337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D5-4968-92B6-345A80EF32F3}"/>
                </c:ext>
              </c:extLst>
            </c:dLbl>
            <c:dLbl>
              <c:idx val="1"/>
              <c:layout>
                <c:manualLayout>
                  <c:x val="-3.2604180626133822E-2"/>
                  <c:y val="-8.352566951788556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D5-4968-92B6-345A80EF32F3}"/>
                </c:ext>
              </c:extLst>
            </c:dLbl>
            <c:dLbl>
              <c:idx val="2"/>
              <c:layout>
                <c:manualLayout>
                  <c:x val="-3.26041806261337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D5-4968-92B6-345A80EF32F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Design'!$F$13:$F$15</c:f>
              <c:strCache>
                <c:ptCount val="3"/>
                <c:pt idx="0">
                  <c:v>Tier 1</c:v>
                </c:pt>
                <c:pt idx="1">
                  <c:v>Tier 2</c:v>
                </c:pt>
                <c:pt idx="2">
                  <c:v>Tier 3</c:v>
                </c:pt>
              </c:strCache>
            </c:strRef>
          </c:cat>
          <c:val>
            <c:numRef>
              <c:f>'Sheet Design'!$G$13:$G$15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3-6FD5-4968-92B6-345A80EF32F3}"/>
            </c:ext>
          </c:extLst>
        </c:ser>
        <c:ser>
          <c:idx val="1"/>
          <c:order val="1"/>
          <c:tx>
            <c:strRef>
              <c:f>'Sheet Design'!$H$11:$H$12</c:f>
              <c:strCache>
                <c:ptCount val="1"/>
                <c:pt idx="0">
                  <c:v>Low Fat</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4-6FD5-4968-92B6-345A80EF32F3}"/>
              </c:ext>
            </c:extLst>
          </c:dPt>
          <c:dPt>
            <c:idx val="1"/>
            <c:invertIfNegative val="0"/>
            <c:bubble3D val="0"/>
            <c:spPr>
              <a:solidFill>
                <a:srgbClr val="FFD200"/>
              </a:solidFill>
              <a:ln>
                <a:noFill/>
              </a:ln>
              <a:effectLst/>
            </c:spPr>
            <c:extLst>
              <c:ext xmlns:c16="http://schemas.microsoft.com/office/drawing/2014/chart" uri="{C3380CC4-5D6E-409C-BE32-E72D297353CC}">
                <c16:uniqueId val="{00000005-6FD5-4968-92B6-345A80EF32F3}"/>
              </c:ext>
            </c:extLst>
          </c:dPt>
          <c:dPt>
            <c:idx val="2"/>
            <c:invertIfNegative val="0"/>
            <c:bubble3D val="0"/>
            <c:spPr>
              <a:solidFill>
                <a:srgbClr val="FFD200"/>
              </a:solidFill>
              <a:ln>
                <a:noFill/>
              </a:ln>
              <a:effectLst/>
            </c:spPr>
            <c:extLst>
              <c:ext xmlns:c16="http://schemas.microsoft.com/office/drawing/2014/chart" uri="{C3380CC4-5D6E-409C-BE32-E72D297353CC}">
                <c16:uniqueId val="{00000006-6FD5-4968-92B6-345A80EF32F3}"/>
              </c:ext>
            </c:extLst>
          </c:dPt>
          <c:dLbls>
            <c:dLbl>
              <c:idx val="0"/>
              <c:layout>
                <c:manualLayout>
                  <c:x val="-3.9124760025528817E-2"/>
                  <c:y val="3.5874001887229693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7505210250754386"/>
                      <c:h val="0.10004972136662725"/>
                    </c:manualLayout>
                  </c15:layout>
                </c:ext>
                <c:ext xmlns:c16="http://schemas.microsoft.com/office/drawing/2014/chart" uri="{C3380CC4-5D6E-409C-BE32-E72D297353CC}">
                  <c16:uniqueId val="{00000004-6FD5-4968-92B6-345A80EF32F3}"/>
                </c:ext>
              </c:extLst>
            </c:dLbl>
            <c:dLbl>
              <c:idx val="1"/>
              <c:layout>
                <c:manualLayout>
                  <c:x val="-2.352796209850115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D5-4968-92B6-345A80EF32F3}"/>
                </c:ext>
              </c:extLst>
            </c:dLbl>
            <c:dLbl>
              <c:idx val="2"/>
              <c:layout>
                <c:manualLayout>
                  <c:x val="-4.5647906683241007E-2"/>
                  <c:y val="4.5556395007199492E-3"/>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249816312667417"/>
                      <c:h val="9.9095472916204769E-2"/>
                    </c:manualLayout>
                  </c15:layout>
                </c:ext>
                <c:ext xmlns:c16="http://schemas.microsoft.com/office/drawing/2014/chart" uri="{C3380CC4-5D6E-409C-BE32-E72D297353CC}">
                  <c16:uniqueId val="{00000006-6FD5-4968-92B6-345A80EF32F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Design'!$F$13:$F$15</c:f>
              <c:strCache>
                <c:ptCount val="3"/>
                <c:pt idx="0">
                  <c:v>Tier 1</c:v>
                </c:pt>
                <c:pt idx="1">
                  <c:v>Tier 2</c:v>
                </c:pt>
                <c:pt idx="2">
                  <c:v>Tier 3</c:v>
                </c:pt>
              </c:strCache>
            </c:strRef>
          </c:cat>
          <c:val>
            <c:numRef>
              <c:f>'Sheet Design'!$H$13:$H$15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7-6FD5-4968-92B6-345A80EF32F3}"/>
            </c:ext>
          </c:extLst>
        </c:ser>
        <c:dLbls>
          <c:dLblPos val="outEnd"/>
          <c:showLegendKey val="0"/>
          <c:showVal val="1"/>
          <c:showCatName val="0"/>
          <c:showSerName val="0"/>
          <c:showPercent val="0"/>
          <c:showBubbleSize val="0"/>
        </c:dLbls>
        <c:gapWidth val="60"/>
        <c:axId val="601000552"/>
        <c:axId val="601003432"/>
      </c:barChart>
      <c:catAx>
        <c:axId val="6010005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601003432"/>
        <c:crosses val="autoZero"/>
        <c:auto val="1"/>
        <c:lblAlgn val="ctr"/>
        <c:lblOffset val="100"/>
        <c:noMultiLvlLbl val="0"/>
      </c:catAx>
      <c:valAx>
        <c:axId val="601003432"/>
        <c:scaling>
          <c:orientation val="minMax"/>
        </c:scaling>
        <c:delete val="1"/>
        <c:axPos val="b"/>
        <c:numFmt formatCode="&quot;$&quot;0.0,&quot;K&quot;" sourceLinked="1"/>
        <c:majorTickMark val="out"/>
        <c:minorTickMark val="none"/>
        <c:tickLblPos val="nextTo"/>
        <c:crossAx val="6010005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Design!PivotTable3</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Design'!$B$21</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Design'!$A$22:$A$38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Design'!$B$22:$B$38</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59E-4437-AD75-01926A15DBD0}"/>
            </c:ext>
          </c:extLst>
        </c:ser>
        <c:dLbls>
          <c:showLegendKey val="0"/>
          <c:showVal val="0"/>
          <c:showCatName val="0"/>
          <c:showSerName val="0"/>
          <c:showPercent val="0"/>
          <c:showBubbleSize val="0"/>
        </c:dLbls>
        <c:gapWidth val="50"/>
        <c:axId val="357444560"/>
        <c:axId val="357443120"/>
      </c:barChart>
      <c:catAx>
        <c:axId val="3574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57443120"/>
        <c:crosses val="autoZero"/>
        <c:auto val="1"/>
        <c:lblAlgn val="ctr"/>
        <c:lblOffset val="100"/>
        <c:noMultiLvlLbl val="0"/>
      </c:catAx>
      <c:valAx>
        <c:axId val="357443120"/>
        <c:scaling>
          <c:orientation val="minMax"/>
        </c:scaling>
        <c:delete val="1"/>
        <c:axPos val="b"/>
        <c:numFmt formatCode="&quot;$&quot;0.00,&quot;K&quot;" sourceLinked="1"/>
        <c:majorTickMark val="none"/>
        <c:minorTickMark val="none"/>
        <c:tickLblPos val="nextTo"/>
        <c:crossAx val="35744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tx1"/>
            </a:solidFill>
          </a:ln>
          <a:effectLst/>
        </c:spPr>
        <c:dLbl>
          <c:idx val="0"/>
          <c:layout>
            <c:manualLayout>
              <c:x val="-2.7509251208578223E-18"/>
              <c:y val="-0.16958523807238679"/>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2225">
            <a:solidFill>
              <a:schemeClr val="tx1"/>
            </a:solidFill>
          </a:ln>
          <a:effectLst/>
        </c:spPr>
        <c:dLbl>
          <c:idx val="0"/>
          <c:layout>
            <c:manualLayout>
              <c:x val="0"/>
              <c:y val="-0.26497693448810428"/>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tx1"/>
            </a:solidFill>
          </a:ln>
          <a:effectLst/>
        </c:spPr>
        <c:dLbl>
          <c:idx val="0"/>
          <c:layout>
            <c:manualLayout>
              <c:x val="-4.4014801933725158E-17"/>
              <c:y val="-0.27027647317786629"/>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tx1"/>
            </a:solidFill>
          </a:ln>
          <a:effectLst/>
        </c:spPr>
        <c:dLbl>
          <c:idx val="0"/>
          <c:layout>
            <c:manualLayout>
              <c:x val="2.4226912711630402E-3"/>
              <c:y val="-0.27027657116792564"/>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tx1"/>
            </a:solidFill>
          </a:ln>
          <a:effectLst/>
        </c:spPr>
        <c:dLbl>
          <c:idx val="0"/>
          <c:layout>
            <c:manualLayout>
              <c:x val="0"/>
              <c:y val="-0.2681876637898085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tx1"/>
            </a:solidFill>
          </a:ln>
          <a:effectLst/>
        </c:spPr>
        <c:dLbl>
          <c:idx val="0"/>
          <c:layout>
            <c:manualLayout>
              <c:x val="-7.2242731025522538E-3"/>
              <c:y val="-0.2735514170656046"/>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tx1"/>
            </a:solidFill>
          </a:ln>
          <a:effectLst/>
        </c:spPr>
        <c:dLbl>
          <c:idx val="0"/>
          <c:layout>
            <c:manualLayout>
              <c:x val="-2.4080910341841731E-3"/>
              <c:y val="-0.38082648258152801"/>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tx1"/>
            </a:solidFill>
          </a:ln>
          <a:effectLst/>
        </c:spPr>
        <c:dLbl>
          <c:idx val="0"/>
          <c:layout>
            <c:manualLayout>
              <c:x val="1.4448546205104508E-2"/>
              <c:y val="-0.2681876637898085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tx1"/>
            </a:solidFill>
          </a:ln>
          <a:effectLst/>
        </c:spPr>
        <c:dLbl>
          <c:idx val="0"/>
          <c:layout>
            <c:manualLayout>
              <c:x val="-2.4080910341840846E-3"/>
              <c:y val="-0.2681876637898085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Design'!$J$21</c:f>
              <c:strCache>
                <c:ptCount val="1"/>
                <c:pt idx="0">
                  <c:v>Total</c:v>
                </c:pt>
              </c:strCache>
            </c:strRef>
          </c:tx>
          <c:spPr>
            <a:solidFill>
              <a:srgbClr val="FFD200">
                <a:alpha val="80000"/>
              </a:srgbClr>
            </a:solidFill>
            <a:ln w="22225">
              <a:solidFill>
                <a:schemeClr val="tx1"/>
              </a:solidFill>
            </a:ln>
            <a:effectLst/>
          </c:spPr>
          <c:dPt>
            <c:idx val="0"/>
            <c:bubble3D val="0"/>
            <c:extLst>
              <c:ext xmlns:c16="http://schemas.microsoft.com/office/drawing/2014/chart" uri="{C3380CC4-5D6E-409C-BE32-E72D297353CC}">
                <c16:uniqueId val="{00000001-9939-4C89-966A-A4184D55E7A6}"/>
              </c:ext>
            </c:extLst>
          </c:dPt>
          <c:dPt>
            <c:idx val="1"/>
            <c:bubble3D val="0"/>
            <c:extLst>
              <c:ext xmlns:c16="http://schemas.microsoft.com/office/drawing/2014/chart" uri="{C3380CC4-5D6E-409C-BE32-E72D297353CC}">
                <c16:uniqueId val="{00000002-9939-4C89-966A-A4184D55E7A6}"/>
              </c:ext>
            </c:extLst>
          </c:dPt>
          <c:dPt>
            <c:idx val="2"/>
            <c:bubble3D val="0"/>
            <c:extLst>
              <c:ext xmlns:c16="http://schemas.microsoft.com/office/drawing/2014/chart" uri="{C3380CC4-5D6E-409C-BE32-E72D297353CC}">
                <c16:uniqueId val="{00000003-9939-4C89-966A-A4184D55E7A6}"/>
              </c:ext>
            </c:extLst>
          </c:dPt>
          <c:dPt>
            <c:idx val="3"/>
            <c:bubble3D val="0"/>
            <c:extLst>
              <c:ext xmlns:c16="http://schemas.microsoft.com/office/drawing/2014/chart" uri="{C3380CC4-5D6E-409C-BE32-E72D297353CC}">
                <c16:uniqueId val="{00000004-9939-4C89-966A-A4184D55E7A6}"/>
              </c:ext>
            </c:extLst>
          </c:dPt>
          <c:dPt>
            <c:idx val="4"/>
            <c:bubble3D val="0"/>
            <c:extLst>
              <c:ext xmlns:c16="http://schemas.microsoft.com/office/drawing/2014/chart" uri="{C3380CC4-5D6E-409C-BE32-E72D297353CC}">
                <c16:uniqueId val="{00000005-9939-4C89-966A-A4184D55E7A6}"/>
              </c:ext>
            </c:extLst>
          </c:dPt>
          <c:dPt>
            <c:idx val="5"/>
            <c:bubble3D val="0"/>
            <c:extLst>
              <c:ext xmlns:c16="http://schemas.microsoft.com/office/drawing/2014/chart" uri="{C3380CC4-5D6E-409C-BE32-E72D297353CC}">
                <c16:uniqueId val="{00000006-9939-4C89-966A-A4184D55E7A6}"/>
              </c:ext>
            </c:extLst>
          </c:dPt>
          <c:dPt>
            <c:idx val="6"/>
            <c:bubble3D val="0"/>
            <c:extLst>
              <c:ext xmlns:c16="http://schemas.microsoft.com/office/drawing/2014/chart" uri="{C3380CC4-5D6E-409C-BE32-E72D297353CC}">
                <c16:uniqueId val="{00000007-9939-4C89-966A-A4184D55E7A6}"/>
              </c:ext>
            </c:extLst>
          </c:dPt>
          <c:dPt>
            <c:idx val="7"/>
            <c:bubble3D val="0"/>
            <c:extLst>
              <c:ext xmlns:c16="http://schemas.microsoft.com/office/drawing/2014/chart" uri="{C3380CC4-5D6E-409C-BE32-E72D297353CC}">
                <c16:uniqueId val="{00000008-9939-4C89-966A-A4184D55E7A6}"/>
              </c:ext>
            </c:extLst>
          </c:dPt>
          <c:dPt>
            <c:idx val="8"/>
            <c:bubble3D val="0"/>
            <c:extLst>
              <c:ext xmlns:c16="http://schemas.microsoft.com/office/drawing/2014/chart" uri="{C3380CC4-5D6E-409C-BE32-E72D297353CC}">
                <c16:uniqueId val="{00000009-9939-4C89-966A-A4184D55E7A6}"/>
              </c:ext>
            </c:extLst>
          </c:dPt>
          <c:dLbls>
            <c:dLbl>
              <c:idx val="0"/>
              <c:layout>
                <c:manualLayout>
                  <c:x val="-2.7509251208578223E-18"/>
                  <c:y val="-0.169585238072386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39-4C89-966A-A4184D55E7A6}"/>
                </c:ext>
              </c:extLst>
            </c:dLbl>
            <c:dLbl>
              <c:idx val="1"/>
              <c:layout>
                <c:manualLayout>
                  <c:x val="0"/>
                  <c:y val="-0.264976934488104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39-4C89-966A-A4184D55E7A6}"/>
                </c:ext>
              </c:extLst>
            </c:dLbl>
            <c:dLbl>
              <c:idx val="2"/>
              <c:layout>
                <c:manualLayout>
                  <c:x val="-4.4014801933725158E-17"/>
                  <c:y val="-0.27027647317786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39-4C89-966A-A4184D55E7A6}"/>
                </c:ext>
              </c:extLst>
            </c:dLbl>
            <c:dLbl>
              <c:idx val="3"/>
              <c:layout>
                <c:manualLayout>
                  <c:x val="2.4226912711630402E-3"/>
                  <c:y val="-0.270276571167925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39-4C89-966A-A4184D55E7A6}"/>
                </c:ext>
              </c:extLst>
            </c:dLbl>
            <c:dLbl>
              <c:idx val="4"/>
              <c:layout>
                <c:manualLayout>
                  <c:x val="0"/>
                  <c:y val="-0.26818766378980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39-4C89-966A-A4184D55E7A6}"/>
                </c:ext>
              </c:extLst>
            </c:dLbl>
            <c:dLbl>
              <c:idx val="5"/>
              <c:layout>
                <c:manualLayout>
                  <c:x val="-7.2242731025522538E-3"/>
                  <c:y val="-0.27355141706560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39-4C89-966A-A4184D55E7A6}"/>
                </c:ext>
              </c:extLst>
            </c:dLbl>
            <c:dLbl>
              <c:idx val="6"/>
              <c:layout>
                <c:manualLayout>
                  <c:x val="-2.4080910341841731E-3"/>
                  <c:y val="-0.380826482581528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39-4C89-966A-A4184D55E7A6}"/>
                </c:ext>
              </c:extLst>
            </c:dLbl>
            <c:dLbl>
              <c:idx val="7"/>
              <c:layout>
                <c:manualLayout>
                  <c:x val="1.4448546205104508E-2"/>
                  <c:y val="-0.26818766378980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39-4C89-966A-A4184D55E7A6}"/>
                </c:ext>
              </c:extLst>
            </c:dLbl>
            <c:dLbl>
              <c:idx val="8"/>
              <c:layout>
                <c:manualLayout>
                  <c:x val="-2.4080910341840846E-3"/>
                  <c:y val="-0.26818766378980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39-4C89-966A-A4184D55E7A6}"/>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 Design'!$I$22:$I$31</c:f>
              <c:strCache>
                <c:ptCount val="9"/>
                <c:pt idx="0">
                  <c:v>2011</c:v>
                </c:pt>
                <c:pt idx="1">
                  <c:v>2012</c:v>
                </c:pt>
                <c:pt idx="2">
                  <c:v>2014</c:v>
                </c:pt>
                <c:pt idx="3">
                  <c:v>2015</c:v>
                </c:pt>
                <c:pt idx="4">
                  <c:v>2016</c:v>
                </c:pt>
                <c:pt idx="5">
                  <c:v>2017</c:v>
                </c:pt>
                <c:pt idx="6">
                  <c:v>2018</c:v>
                </c:pt>
                <c:pt idx="7">
                  <c:v>2020</c:v>
                </c:pt>
                <c:pt idx="8">
                  <c:v>2022</c:v>
                </c:pt>
              </c:strCache>
            </c:strRef>
          </c:cat>
          <c:val>
            <c:numRef>
              <c:f>'Sheet Design'!$J$22:$J$31</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939-4C89-966A-A4184D55E7A6}"/>
            </c:ext>
          </c:extLst>
        </c:ser>
        <c:dLbls>
          <c:showLegendKey val="0"/>
          <c:showVal val="0"/>
          <c:showCatName val="0"/>
          <c:showSerName val="0"/>
          <c:showPercent val="0"/>
          <c:showBubbleSize val="0"/>
        </c:dLbls>
        <c:axId val="324551088"/>
        <c:axId val="324558288"/>
      </c:areaChart>
      <c:catAx>
        <c:axId val="32455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324558288"/>
        <c:crosses val="autoZero"/>
        <c:auto val="1"/>
        <c:lblAlgn val="ctr"/>
        <c:lblOffset val="100"/>
        <c:noMultiLvlLbl val="0"/>
      </c:catAx>
      <c:valAx>
        <c:axId val="324558288"/>
        <c:scaling>
          <c:orientation val="minMax"/>
        </c:scaling>
        <c:delete val="1"/>
        <c:axPos val="l"/>
        <c:numFmt formatCode="&quot;$&quot;0.00,&quot;K&quot;" sourceLinked="1"/>
        <c:majorTickMark val="none"/>
        <c:minorTickMark val="none"/>
        <c:tickLblPos val="nextTo"/>
        <c:crossAx val="3245510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4108530576458664"/>
              <c:y val="-4.374998205791421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noFill/>
          </a:ln>
          <a:effectLst/>
        </c:spPr>
        <c:dLbl>
          <c:idx val="0"/>
          <c:layout>
            <c:manualLayout>
              <c:x val="0.17995877932187504"/>
              <c:y val="1.4855573230413505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noFill/>
          </a:ln>
          <a:effectLst/>
        </c:spPr>
        <c:dLbl>
          <c:idx val="0"/>
          <c:layout>
            <c:manualLayout>
              <c:x val="-0.11937987410849639"/>
              <c:y val="-8.7499964115828402E-2"/>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103979272167319"/>
          <c:y val="0.24012194876888587"/>
          <c:w val="0.48908362060272736"/>
          <c:h val="0.65720568520108058"/>
        </c:manualLayout>
      </c:layout>
      <c:doughnutChart>
        <c:varyColors val="1"/>
        <c:ser>
          <c:idx val="0"/>
          <c:order val="0"/>
          <c:tx>
            <c:strRef>
              <c:f>'Sheet Design'!$M$11</c:f>
              <c:strCache>
                <c:ptCount val="1"/>
                <c:pt idx="0">
                  <c:v>Total</c:v>
                </c:pt>
              </c:strCache>
            </c:strRef>
          </c:tx>
          <c:spPr>
            <a:ln>
              <a:no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16BD-4465-AE77-5C298D11882C}"/>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16BD-4465-AE77-5C298D11882C}"/>
              </c:ext>
            </c:extLst>
          </c:dPt>
          <c:dPt>
            <c:idx val="2"/>
            <c:bubble3D val="0"/>
            <c:spPr>
              <a:solidFill>
                <a:srgbClr val="FFD200"/>
              </a:solidFill>
              <a:ln w="19050">
                <a:noFill/>
              </a:ln>
              <a:effectLst/>
            </c:spPr>
            <c:extLst>
              <c:ext xmlns:c16="http://schemas.microsoft.com/office/drawing/2014/chart" uri="{C3380CC4-5D6E-409C-BE32-E72D297353CC}">
                <c16:uniqueId val="{00000005-16BD-4465-AE77-5C298D11882C}"/>
              </c:ext>
            </c:extLst>
          </c:dPt>
          <c:dLbls>
            <c:dLbl>
              <c:idx val="0"/>
              <c:layout>
                <c:manualLayout>
                  <c:x val="0.14108530576458664"/>
                  <c:y val="-4.374998205791421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BD-4465-AE77-5C298D11882C}"/>
                </c:ext>
              </c:extLst>
            </c:dLbl>
            <c:dLbl>
              <c:idx val="1"/>
              <c:layout>
                <c:manualLayout>
                  <c:x val="0.17995877932187504"/>
                  <c:y val="1.48555732304135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BD-4465-AE77-5C298D11882C}"/>
                </c:ext>
              </c:extLst>
            </c:dLbl>
            <c:dLbl>
              <c:idx val="2"/>
              <c:layout>
                <c:manualLayout>
                  <c:x val="-0.11937987410849639"/>
                  <c:y val="-8.74999641158284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BD-4465-AE77-5C298D11882C}"/>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Design'!$L$12:$L$15</c:f>
              <c:strCache>
                <c:ptCount val="3"/>
                <c:pt idx="0">
                  <c:v>High</c:v>
                </c:pt>
                <c:pt idx="1">
                  <c:v>Medium</c:v>
                </c:pt>
                <c:pt idx="2">
                  <c:v>Small</c:v>
                </c:pt>
              </c:strCache>
            </c:strRef>
          </c:cat>
          <c:val>
            <c:numRef>
              <c:f>'Sheet Design'!$M$12:$M$15</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6BD-4465-AE77-5C298D11882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Design'!$J$37</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Design'!$I$38:$I$42</c:f>
              <c:strCache>
                <c:ptCount val="4"/>
                <c:pt idx="0">
                  <c:v>Grocery Store</c:v>
                </c:pt>
                <c:pt idx="1">
                  <c:v>Supermarket Type3</c:v>
                </c:pt>
                <c:pt idx="2">
                  <c:v>Supermarket Type2</c:v>
                </c:pt>
                <c:pt idx="3">
                  <c:v>Supermarket Type1</c:v>
                </c:pt>
              </c:strCache>
            </c:strRef>
          </c:cat>
          <c:val>
            <c:numRef>
              <c:f>'Sheet Design'!$J$38:$J$42</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104-4164-9475-1406C61F78BB}"/>
            </c:ext>
          </c:extLst>
        </c:ser>
        <c:dLbls>
          <c:dLblPos val="outEnd"/>
          <c:showLegendKey val="0"/>
          <c:showVal val="1"/>
          <c:showCatName val="0"/>
          <c:showSerName val="0"/>
          <c:showPercent val="0"/>
          <c:showBubbleSize val="0"/>
        </c:dLbls>
        <c:gapWidth val="60"/>
        <c:axId val="100759520"/>
        <c:axId val="100759880"/>
      </c:barChart>
      <c:catAx>
        <c:axId val="10075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00759880"/>
        <c:crosses val="autoZero"/>
        <c:auto val="1"/>
        <c:lblAlgn val="ctr"/>
        <c:lblOffset val="100"/>
        <c:noMultiLvlLbl val="0"/>
      </c:catAx>
      <c:valAx>
        <c:axId val="100759880"/>
        <c:scaling>
          <c:orientation val="minMax"/>
        </c:scaling>
        <c:delete val="1"/>
        <c:axPos val="b"/>
        <c:numFmt formatCode="&quot;$&quot;0.00,&quot;K&quot;" sourceLinked="1"/>
        <c:majorTickMark val="none"/>
        <c:minorTickMark val="none"/>
        <c:tickLblPos val="nextTo"/>
        <c:crossAx val="10075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4843505477308406E-2"/>
              <c:y val="-5.4716733327192527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Design'!$P$37</c:f>
              <c:strCache>
                <c:ptCount val="1"/>
                <c:pt idx="0">
                  <c:v>Total</c:v>
                </c:pt>
              </c:strCache>
            </c:strRef>
          </c:tx>
          <c:spPr>
            <a:solidFill>
              <a:schemeClr val="accent6">
                <a:lumMod val="75000"/>
              </a:schemeClr>
            </a:solidFill>
            <a:ln>
              <a:noFill/>
            </a:ln>
            <a:effectLst/>
          </c:spPr>
          <c:invertIfNegative val="0"/>
          <c:dLbls>
            <c:dLbl>
              <c:idx val="2"/>
              <c:layout>
                <c:manualLayout>
                  <c:x val="-2.4843505477308406E-2"/>
                  <c:y val="-5.471673332719252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7B-4F96-9201-60F93FB6363F}"/>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Design'!$O$38:$O$42</c:f>
              <c:strCache>
                <c:ptCount val="4"/>
                <c:pt idx="0">
                  <c:v>Grocery Store</c:v>
                </c:pt>
                <c:pt idx="1">
                  <c:v>Supermarket Type3</c:v>
                </c:pt>
                <c:pt idx="2">
                  <c:v>Supermarket Type2</c:v>
                </c:pt>
                <c:pt idx="3">
                  <c:v>Supermarket Type1</c:v>
                </c:pt>
              </c:strCache>
            </c:strRef>
          </c:cat>
          <c:val>
            <c:numRef>
              <c:f>'Sheet Design'!$P$38:$P$42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57B-4F96-9201-60F93FB6363F}"/>
            </c:ext>
          </c:extLst>
        </c:ser>
        <c:dLbls>
          <c:dLblPos val="outEnd"/>
          <c:showLegendKey val="0"/>
          <c:showVal val="1"/>
          <c:showCatName val="0"/>
          <c:showSerName val="0"/>
          <c:showPercent val="0"/>
          <c:showBubbleSize val="0"/>
        </c:dLbls>
        <c:gapWidth val="60"/>
        <c:axId val="401236152"/>
        <c:axId val="401236872"/>
      </c:barChart>
      <c:catAx>
        <c:axId val="401236152"/>
        <c:scaling>
          <c:orientation val="minMax"/>
        </c:scaling>
        <c:delete val="1"/>
        <c:axPos val="l"/>
        <c:numFmt formatCode="General" sourceLinked="1"/>
        <c:majorTickMark val="none"/>
        <c:minorTickMark val="none"/>
        <c:tickLblPos val="nextTo"/>
        <c:crossAx val="401236872"/>
        <c:crosses val="autoZero"/>
        <c:auto val="1"/>
        <c:lblAlgn val="ctr"/>
        <c:lblOffset val="100"/>
        <c:noMultiLvlLbl val="0"/>
      </c:catAx>
      <c:valAx>
        <c:axId val="401236872"/>
        <c:scaling>
          <c:orientation val="minMax"/>
        </c:scaling>
        <c:delete val="1"/>
        <c:axPos val="b"/>
        <c:numFmt formatCode="\$0" sourceLinked="1"/>
        <c:majorTickMark val="none"/>
        <c:minorTickMark val="none"/>
        <c:tickLblPos val="nextTo"/>
        <c:crossAx val="401236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 Design!PivotTable10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6.2314650714116087E-3"/>
              <c:y val="-2.6837510080477686E-17"/>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Design'!$R$27</c:f>
              <c:strCache>
                <c:ptCount val="1"/>
                <c:pt idx="0">
                  <c:v>Total</c:v>
                </c:pt>
              </c:strCache>
            </c:strRef>
          </c:tx>
          <c:spPr>
            <a:solidFill>
              <a:schemeClr val="accent4">
                <a:lumMod val="75000"/>
              </a:schemeClr>
            </a:solidFill>
            <a:ln>
              <a:noFill/>
            </a:ln>
            <a:effectLst/>
          </c:spPr>
          <c:invertIfNegative val="0"/>
          <c:dLbls>
            <c:dLbl>
              <c:idx val="3"/>
              <c:layout>
                <c:manualLayout>
                  <c:x val="-6.2314650714116087E-3"/>
                  <c:y val="-2.6837510080477686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70-4F0C-85D3-FD6E3CC97A08}"/>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Design'!$Q$28:$Q$32</c:f>
              <c:strCache>
                <c:ptCount val="4"/>
                <c:pt idx="0">
                  <c:v>Grocery Store</c:v>
                </c:pt>
                <c:pt idx="1">
                  <c:v>Supermarket Type3</c:v>
                </c:pt>
                <c:pt idx="2">
                  <c:v>Supermarket Type2</c:v>
                </c:pt>
                <c:pt idx="3">
                  <c:v>Supermarket Type1</c:v>
                </c:pt>
              </c:strCache>
            </c:strRef>
          </c:cat>
          <c:val>
            <c:numRef>
              <c:f>'Sheet Design'!$R$28:$R$32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1370-4F0C-85D3-FD6E3CC97A08}"/>
            </c:ext>
          </c:extLst>
        </c:ser>
        <c:dLbls>
          <c:dLblPos val="outEnd"/>
          <c:showLegendKey val="0"/>
          <c:showVal val="1"/>
          <c:showCatName val="0"/>
          <c:showSerName val="0"/>
          <c:showPercent val="0"/>
          <c:showBubbleSize val="0"/>
        </c:dLbls>
        <c:gapWidth val="60"/>
        <c:axId val="572255144"/>
        <c:axId val="572252264"/>
      </c:barChart>
      <c:catAx>
        <c:axId val="572255144"/>
        <c:scaling>
          <c:orientation val="minMax"/>
        </c:scaling>
        <c:delete val="1"/>
        <c:axPos val="l"/>
        <c:numFmt formatCode="General" sourceLinked="1"/>
        <c:majorTickMark val="none"/>
        <c:minorTickMark val="none"/>
        <c:tickLblPos val="nextTo"/>
        <c:crossAx val="572252264"/>
        <c:crosses val="autoZero"/>
        <c:auto val="1"/>
        <c:lblAlgn val="ctr"/>
        <c:lblOffset val="100"/>
        <c:noMultiLvlLbl val="0"/>
      </c:catAx>
      <c:valAx>
        <c:axId val="572252264"/>
        <c:scaling>
          <c:orientation val="minMax"/>
        </c:scaling>
        <c:delete val="1"/>
        <c:axPos val="b"/>
        <c:numFmt formatCode="0" sourceLinked="1"/>
        <c:majorTickMark val="none"/>
        <c:minorTickMark val="none"/>
        <c:tickLblPos val="nextTo"/>
        <c:crossAx val="572255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99197D4-FAA3-47B9-918F-1F05DE1B9F56}">
          <cx:tx>
            <cx:txData>
              <cx:f>_xlchart.v2.1</cx:f>
              <cx:v>Total Sales</cx:v>
            </cx:txData>
          </cx:tx>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1">
        <cx:catScaling gapWidth="0.0599999987"/>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C99197D4-FAA3-47B9-918F-1F05DE1B9F56}">
          <cx:tx>
            <cx:txData>
              <cx:f>_xlchart.v2.7</cx:f>
              <cx:v>Total Sales</cx:v>
            </cx:txData>
          </cx:tx>
          <cx:spPr>
            <a:solidFill>
              <a:srgbClr val="FFD200"/>
            </a:solidFill>
          </cx:spPr>
          <cx:dataPt idx="0">
            <cx:spPr>
              <a:solidFill>
                <a:srgbClr val="70AD47">
                  <a:lumMod val="75000"/>
                </a:srgbClr>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00000003"/>
        <cx:tickLabels/>
        <cx:spPr>
          <a:ln>
            <a:noFill/>
          </a:ln>
        </cx:spPr>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12.xml"/><Relationship Id="rId18" Type="http://schemas.openxmlformats.org/officeDocument/2006/relationships/chart" Target="../charts/chart16.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11.xml"/><Relationship Id="rId17" Type="http://schemas.openxmlformats.org/officeDocument/2006/relationships/chart" Target="../charts/chart15.xml"/><Relationship Id="rId2" Type="http://schemas.openxmlformats.org/officeDocument/2006/relationships/hyperlink" Target="#'Raw Data'!A1"/><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10.xml"/><Relationship Id="rId5" Type="http://schemas.openxmlformats.org/officeDocument/2006/relationships/image" Target="../media/image3.png"/><Relationship Id="rId15" Type="http://schemas.microsoft.com/office/2014/relationships/chartEx" Target="../charts/chartEx2.xml"/><Relationship Id="rId10" Type="http://schemas.openxmlformats.org/officeDocument/2006/relationships/chart" Target="../charts/chart9.xml"/><Relationship Id="rId4" Type="http://schemas.openxmlformats.org/officeDocument/2006/relationships/hyperlink" Target="#'Sheet Design'!A1"/><Relationship Id="rId9" Type="http://schemas.openxmlformats.org/officeDocument/2006/relationships/image" Target="../media/image7.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217170</xdr:colOff>
      <xdr:row>10</xdr:row>
      <xdr:rowOff>68580</xdr:rowOff>
    </xdr:from>
    <xdr:to>
      <xdr:col>3</xdr:col>
      <xdr:colOff>777240</xdr:colOff>
      <xdr:row>16</xdr:row>
      <xdr:rowOff>137160</xdr:rowOff>
    </xdr:to>
    <xdr:graphicFrame macro="">
      <xdr:nvGraphicFramePr>
        <xdr:cNvPr id="2" name="Chart 1">
          <a:extLst>
            <a:ext uri="{FF2B5EF4-FFF2-40B4-BE49-F238E27FC236}">
              <a16:creationId xmlns:a16="http://schemas.microsoft.com/office/drawing/2014/main" id="{7464E758-DC0C-6BE4-CE3D-5D595152F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88719</xdr:colOff>
      <xdr:row>10</xdr:row>
      <xdr:rowOff>74023</xdr:rowOff>
    </xdr:from>
    <xdr:to>
      <xdr:col>9</xdr:col>
      <xdr:colOff>816429</xdr:colOff>
      <xdr:row>17</xdr:row>
      <xdr:rowOff>51163</xdr:rowOff>
    </xdr:to>
    <xdr:graphicFrame macro="">
      <xdr:nvGraphicFramePr>
        <xdr:cNvPr id="3" name="Chart 2">
          <a:extLst>
            <a:ext uri="{FF2B5EF4-FFF2-40B4-BE49-F238E27FC236}">
              <a16:creationId xmlns:a16="http://schemas.microsoft.com/office/drawing/2014/main" id="{CBD4062A-89A5-1B2D-4F20-657B84322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368156</xdr:colOff>
      <xdr:row>21</xdr:row>
      <xdr:rowOff>51369</xdr:rowOff>
    </xdr:from>
    <xdr:to>
      <xdr:col>6</xdr:col>
      <xdr:colOff>359595</xdr:colOff>
      <xdr:row>37</xdr:row>
      <xdr:rowOff>162674</xdr:rowOff>
    </xdr:to>
    <xdr:graphicFrame macro="">
      <xdr:nvGraphicFramePr>
        <xdr:cNvPr id="4" name="Chart 3">
          <a:extLst>
            <a:ext uri="{FF2B5EF4-FFF2-40B4-BE49-F238E27FC236}">
              <a16:creationId xmlns:a16="http://schemas.microsoft.com/office/drawing/2014/main" id="{29455789-C0B9-6AC2-99C5-B06D72F98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108859</xdr:colOff>
      <xdr:row>20</xdr:row>
      <xdr:rowOff>97970</xdr:rowOff>
    </xdr:from>
    <xdr:to>
      <xdr:col>14</xdr:col>
      <xdr:colOff>664030</xdr:colOff>
      <xdr:row>31</xdr:row>
      <xdr:rowOff>10886</xdr:rowOff>
    </xdr:to>
    <xdr:graphicFrame macro="">
      <xdr:nvGraphicFramePr>
        <xdr:cNvPr id="5" name="Chart 4">
          <a:extLst>
            <a:ext uri="{FF2B5EF4-FFF2-40B4-BE49-F238E27FC236}">
              <a16:creationId xmlns:a16="http://schemas.microsoft.com/office/drawing/2014/main" id="{A646F914-EAD2-AA79-6825-DA39C9BF5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76200</xdr:colOff>
      <xdr:row>10</xdr:row>
      <xdr:rowOff>43542</xdr:rowOff>
    </xdr:from>
    <xdr:to>
      <xdr:col>15</xdr:col>
      <xdr:colOff>620484</xdr:colOff>
      <xdr:row>16</xdr:row>
      <xdr:rowOff>87085</xdr:rowOff>
    </xdr:to>
    <xdr:graphicFrame macro="">
      <xdr:nvGraphicFramePr>
        <xdr:cNvPr id="6" name="Chart 5">
          <a:extLst>
            <a:ext uri="{FF2B5EF4-FFF2-40B4-BE49-F238E27FC236}">
              <a16:creationId xmlns:a16="http://schemas.microsoft.com/office/drawing/2014/main" id="{72F968FA-9843-BB60-F227-993369E43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130630</xdr:colOff>
      <xdr:row>15</xdr:row>
      <xdr:rowOff>65788</xdr:rowOff>
    </xdr:from>
    <xdr:to>
      <xdr:col>20</xdr:col>
      <xdr:colOff>898781</xdr:colOff>
      <xdr:row>21</xdr:row>
      <xdr:rowOff>43542</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582E594E-F360-4A0E-C611-E04F4DA6AB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361230" y="3429474"/>
              <a:ext cx="2205065" cy="13166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95795</xdr:colOff>
      <xdr:row>35</xdr:row>
      <xdr:rowOff>18505</xdr:rowOff>
    </xdr:from>
    <xdr:to>
      <xdr:col>13</xdr:col>
      <xdr:colOff>167640</xdr:colOff>
      <xdr:row>43</xdr:row>
      <xdr:rowOff>137160</xdr:rowOff>
    </xdr:to>
    <xdr:graphicFrame macro="">
      <xdr:nvGraphicFramePr>
        <xdr:cNvPr id="8" name="Chart 7">
          <a:extLst>
            <a:ext uri="{FF2B5EF4-FFF2-40B4-BE49-F238E27FC236}">
              <a16:creationId xmlns:a16="http://schemas.microsoft.com/office/drawing/2014/main" id="{2CBC3496-B040-1979-C3C9-C0466DD23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64770</xdr:colOff>
      <xdr:row>35</xdr:row>
      <xdr:rowOff>76200</xdr:rowOff>
    </xdr:from>
    <xdr:to>
      <xdr:col>18</xdr:col>
      <xdr:colOff>571500</xdr:colOff>
      <xdr:row>43</xdr:row>
      <xdr:rowOff>68580</xdr:rowOff>
    </xdr:to>
    <xdr:graphicFrame macro="">
      <xdr:nvGraphicFramePr>
        <xdr:cNvPr id="9" name="Chart 8">
          <a:extLst>
            <a:ext uri="{FF2B5EF4-FFF2-40B4-BE49-F238E27FC236}">
              <a16:creationId xmlns:a16="http://schemas.microsoft.com/office/drawing/2014/main" id="{0D2AAF6F-C347-3FAD-37AD-B3D60E364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490402</xdr:colOff>
      <xdr:row>24</xdr:row>
      <xdr:rowOff>185057</xdr:rowOff>
    </xdr:from>
    <xdr:to>
      <xdr:col>21</xdr:col>
      <xdr:colOff>304800</xdr:colOff>
      <xdr:row>33</xdr:row>
      <xdr:rowOff>76200</xdr:rowOff>
    </xdr:to>
    <xdr:graphicFrame macro="">
      <xdr:nvGraphicFramePr>
        <xdr:cNvPr id="10" name="Chart 9">
          <a:extLst>
            <a:ext uri="{FF2B5EF4-FFF2-40B4-BE49-F238E27FC236}">
              <a16:creationId xmlns:a16="http://schemas.microsoft.com/office/drawing/2014/main" id="{CC774A1D-1702-11C4-D3B9-6B941B3C2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333103</xdr:colOff>
      <xdr:row>0</xdr:row>
      <xdr:rowOff>145868</xdr:rowOff>
    </xdr:from>
    <xdr:to>
      <xdr:col>9</xdr:col>
      <xdr:colOff>275409</xdr:colOff>
      <xdr:row>7</xdr:row>
      <xdr:rowOff>141513</xdr:rowOff>
    </xdr:to>
    <mc:AlternateContent xmlns:mc="http://schemas.openxmlformats.org/markup-compatibility/2006">
      <mc:Choice xmlns:a14="http://schemas.microsoft.com/office/drawing/2010/main" Requires="a14">
        <xdr:graphicFrame macro="">
          <xdr:nvGraphicFramePr>
            <xdr:cNvPr id="11" name="Outlet Size">
              <a:extLst>
                <a:ext uri="{FF2B5EF4-FFF2-40B4-BE49-F238E27FC236}">
                  <a16:creationId xmlns:a16="http://schemas.microsoft.com/office/drawing/2014/main" id="{11114455-740B-A6CE-11FC-8D52175BC9D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7147560" y="145868"/>
              <a:ext cx="1825535" cy="1530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459377</xdr:colOff>
      <xdr:row>0</xdr:row>
      <xdr:rowOff>163284</xdr:rowOff>
    </xdr:from>
    <xdr:to>
      <xdr:col>11</xdr:col>
      <xdr:colOff>519248</xdr:colOff>
      <xdr:row>7</xdr:row>
      <xdr:rowOff>21769</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8EA3119C-28E0-F143-211A-A2B552170A6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157063" y="163284"/>
              <a:ext cx="1714499" cy="1393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801188</xdr:colOff>
      <xdr:row>0</xdr:row>
      <xdr:rowOff>91441</xdr:rowOff>
    </xdr:from>
    <xdr:to>
      <xdr:col>14</xdr:col>
      <xdr:colOff>206828</xdr:colOff>
      <xdr:row>7</xdr:row>
      <xdr:rowOff>130629</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582A8940-EF5B-BF09-E714-EF7333D4B62E}"/>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153502" y="91441"/>
              <a:ext cx="1691640" cy="1574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641985</xdr:colOff>
      <xdr:row>1</xdr:row>
      <xdr:rowOff>0</xdr:rowOff>
    </xdr:from>
    <xdr:to>
      <xdr:col>23</xdr:col>
      <xdr:colOff>649665</xdr:colOff>
      <xdr:row>39</xdr:row>
      <xdr:rowOff>160050</xdr:rowOff>
    </xdr:to>
    <xdr:sp macro="" textlink="">
      <xdr:nvSpPr>
        <xdr:cNvPr id="2" name="Rectangle 1">
          <a:extLst>
            <a:ext uri="{FF2B5EF4-FFF2-40B4-BE49-F238E27FC236}">
              <a16:creationId xmlns:a16="http://schemas.microsoft.com/office/drawing/2014/main" id="{9C942A0C-46B1-E211-3BBD-F3A0230413FA}"/>
            </a:ext>
          </a:extLst>
        </xdr:cNvPr>
        <xdr:cNvSpPr/>
      </xdr:nvSpPr>
      <xdr:spPr>
        <a:xfrm>
          <a:off x="1308735" y="323850"/>
          <a:ext cx="14676180" cy="7837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283728</xdr:colOff>
      <xdr:row>1</xdr:row>
      <xdr:rowOff>174356</xdr:rowOff>
    </xdr:from>
    <xdr:to>
      <xdr:col>5</xdr:col>
      <xdr:colOff>464948</xdr:colOff>
      <xdr:row>39</xdr:row>
      <xdr:rowOff>12661</xdr:rowOff>
    </xdr:to>
    <xdr:sp macro="" textlink="">
      <xdr:nvSpPr>
        <xdr:cNvPr id="3" name="Rectangle: Top Corners Rounded 2">
          <a:extLst>
            <a:ext uri="{FF2B5EF4-FFF2-40B4-BE49-F238E27FC236}">
              <a16:creationId xmlns:a16="http://schemas.microsoft.com/office/drawing/2014/main" id="{642A54B6-3B0C-185F-F730-91D933617D9A}"/>
            </a:ext>
          </a:extLst>
        </xdr:cNvPr>
        <xdr:cNvSpPr/>
      </xdr:nvSpPr>
      <xdr:spPr>
        <a:xfrm rot="5400000">
          <a:off x="-875086" y="2870085"/>
          <a:ext cx="7200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452034</xdr:colOff>
      <xdr:row>3</xdr:row>
      <xdr:rowOff>77492</xdr:rowOff>
    </xdr:from>
    <xdr:to>
      <xdr:col>5</xdr:col>
      <xdr:colOff>309966</xdr:colOff>
      <xdr:row>7</xdr:row>
      <xdr:rowOff>51660</xdr:rowOff>
    </xdr:to>
    <xdr:sp macro="" textlink="">
      <xdr:nvSpPr>
        <xdr:cNvPr id="4" name="TextBox 3">
          <a:extLst>
            <a:ext uri="{FF2B5EF4-FFF2-40B4-BE49-F238E27FC236}">
              <a16:creationId xmlns:a16="http://schemas.microsoft.com/office/drawing/2014/main" id="{0D7DD3BB-BDE1-F32C-12A5-832B3E243C19}"/>
            </a:ext>
          </a:extLst>
        </xdr:cNvPr>
        <xdr:cNvSpPr txBox="1"/>
      </xdr:nvSpPr>
      <xdr:spPr>
        <a:xfrm>
          <a:off x="1795220" y="658678"/>
          <a:ext cx="1872712" cy="749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477864</xdr:colOff>
      <xdr:row>6</xdr:row>
      <xdr:rowOff>116238</xdr:rowOff>
    </xdr:from>
    <xdr:to>
      <xdr:col>5</xdr:col>
      <xdr:colOff>206644</xdr:colOff>
      <xdr:row>8</xdr:row>
      <xdr:rowOff>12915</xdr:rowOff>
    </xdr:to>
    <xdr:sp macro="" textlink="">
      <xdr:nvSpPr>
        <xdr:cNvPr id="5" name="TextBox 4">
          <a:extLst>
            <a:ext uri="{FF2B5EF4-FFF2-40B4-BE49-F238E27FC236}">
              <a16:creationId xmlns:a16="http://schemas.microsoft.com/office/drawing/2014/main" id="{4C73DA18-42CD-469E-AF4E-A9891952230D}"/>
            </a:ext>
          </a:extLst>
        </xdr:cNvPr>
        <xdr:cNvSpPr txBox="1"/>
      </xdr:nvSpPr>
      <xdr:spPr>
        <a:xfrm>
          <a:off x="1821050" y="1278611"/>
          <a:ext cx="1743560" cy="284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solidFill>
            <a:latin typeface="Aptos Display" panose="020B0004020202020204" pitchFamily="34" charset="0"/>
            <a:ea typeface="Segoe UI Black" panose="020B0A02040204020203" pitchFamily="34" charset="0"/>
          </a:endParaRPr>
        </a:p>
      </xdr:txBody>
    </xdr:sp>
    <xdr:clientData/>
  </xdr:twoCellAnchor>
  <xdr:twoCellAnchor>
    <xdr:from>
      <xdr:col>5</xdr:col>
      <xdr:colOff>658677</xdr:colOff>
      <xdr:row>2</xdr:row>
      <xdr:rowOff>45203</xdr:rowOff>
    </xdr:from>
    <xdr:to>
      <xdr:col>14</xdr:col>
      <xdr:colOff>450000</xdr:colOff>
      <xdr:row>14</xdr:row>
      <xdr:rowOff>169363</xdr:rowOff>
    </xdr:to>
    <xdr:grpSp>
      <xdr:nvGrpSpPr>
        <xdr:cNvPr id="10" name="Group 9">
          <a:extLst>
            <a:ext uri="{FF2B5EF4-FFF2-40B4-BE49-F238E27FC236}">
              <a16:creationId xmlns:a16="http://schemas.microsoft.com/office/drawing/2014/main" id="{96E7619E-72B9-6179-F477-0312E246A89D}"/>
            </a:ext>
          </a:extLst>
        </xdr:cNvPr>
        <xdr:cNvGrpSpPr/>
      </xdr:nvGrpSpPr>
      <xdr:grpSpPr>
        <a:xfrm>
          <a:off x="4033248" y="437089"/>
          <a:ext cx="5865552" cy="2475474"/>
          <a:chOff x="4029558" y="458491"/>
          <a:chExt cx="5835662" cy="2448905"/>
        </a:xfrm>
      </xdr:grpSpPr>
      <xdr:sp macro="" textlink="">
        <xdr:nvSpPr>
          <xdr:cNvPr id="6" name="Rectangle: Rounded Corners 5">
            <a:extLst>
              <a:ext uri="{FF2B5EF4-FFF2-40B4-BE49-F238E27FC236}">
                <a16:creationId xmlns:a16="http://schemas.microsoft.com/office/drawing/2014/main" id="{720BC988-EE26-CEAC-2597-81A83853FE12}"/>
              </a:ext>
            </a:extLst>
          </xdr:cNvPr>
          <xdr:cNvSpPr/>
        </xdr:nvSpPr>
        <xdr:spPr>
          <a:xfrm>
            <a:off x="4029558" y="458491"/>
            <a:ext cx="2736000" cy="1047600"/>
          </a:xfrm>
          <a:prstGeom prst="roundRect">
            <a:avLst/>
          </a:prstGeom>
          <a:gradFill>
            <a:gsLst>
              <a:gs pos="0">
                <a:srgbClr val="FFD200">
                  <a:alpha val="60000"/>
                </a:srgbClr>
              </a:gs>
              <a:gs pos="38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536D372C-D2E8-4A3B-82E0-3F554D639900}"/>
              </a:ext>
            </a:extLst>
          </xdr:cNvPr>
          <xdr:cNvSpPr/>
        </xdr:nvSpPr>
        <xdr:spPr>
          <a:xfrm>
            <a:off x="7129220" y="458491"/>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7C7E524-EC4B-4926-960B-8AA3901B4050}"/>
              </a:ext>
            </a:extLst>
          </xdr:cNvPr>
          <xdr:cNvSpPr/>
        </xdr:nvSpPr>
        <xdr:spPr>
          <a:xfrm>
            <a:off x="4029558" y="185979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5C9DD41-4862-4EBE-BF24-A3ABD923144B}"/>
              </a:ext>
            </a:extLst>
          </xdr:cNvPr>
          <xdr:cNvSpPr/>
        </xdr:nvSpPr>
        <xdr:spPr>
          <a:xfrm>
            <a:off x="7129220" y="1859796"/>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135610</xdr:colOff>
      <xdr:row>2</xdr:row>
      <xdr:rowOff>58118</xdr:rowOff>
    </xdr:from>
    <xdr:to>
      <xdr:col>8</xdr:col>
      <xdr:colOff>200185</xdr:colOff>
      <xdr:row>4</xdr:row>
      <xdr:rowOff>148523</xdr:rowOff>
    </xdr:to>
    <xdr:sp macro="" textlink="'Sheet Design'!A6">
      <xdr:nvSpPr>
        <xdr:cNvPr id="11" name="TextBox 10">
          <a:extLst>
            <a:ext uri="{FF2B5EF4-FFF2-40B4-BE49-F238E27FC236}">
              <a16:creationId xmlns:a16="http://schemas.microsoft.com/office/drawing/2014/main" id="{82CE594D-C295-284D-007C-3ED0C556357A}"/>
            </a:ext>
          </a:extLst>
        </xdr:cNvPr>
        <xdr:cNvSpPr txBox="1"/>
      </xdr:nvSpPr>
      <xdr:spPr>
        <a:xfrm>
          <a:off x="4165169" y="445576"/>
          <a:ext cx="1407762" cy="47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440473-BDF8-4CA1-8C3D-FCF48F4DBA2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6</xdr:col>
      <xdr:colOff>19372</xdr:colOff>
      <xdr:row>9</xdr:row>
      <xdr:rowOff>116237</xdr:rowOff>
    </xdr:from>
    <xdr:to>
      <xdr:col>8</xdr:col>
      <xdr:colOff>83947</xdr:colOff>
      <xdr:row>12</xdr:row>
      <xdr:rowOff>12912</xdr:rowOff>
    </xdr:to>
    <xdr:sp macro="" textlink="'Sheet Design'!C6">
      <xdr:nvSpPr>
        <xdr:cNvPr id="12" name="TextBox 11">
          <a:extLst>
            <a:ext uri="{FF2B5EF4-FFF2-40B4-BE49-F238E27FC236}">
              <a16:creationId xmlns:a16="http://schemas.microsoft.com/office/drawing/2014/main" id="{5FC77751-86AA-4667-9093-FA97A4C6F298}"/>
            </a:ext>
          </a:extLst>
        </xdr:cNvPr>
        <xdr:cNvSpPr txBox="1"/>
      </xdr:nvSpPr>
      <xdr:spPr>
        <a:xfrm>
          <a:off x="4048931" y="1859796"/>
          <a:ext cx="1407762" cy="47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B9C87E-DCFA-4B49-AA54-61B971A3D3C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561813</xdr:colOff>
      <xdr:row>2</xdr:row>
      <xdr:rowOff>58118</xdr:rowOff>
    </xdr:from>
    <xdr:to>
      <xdr:col>12</xdr:col>
      <xdr:colOff>626388</xdr:colOff>
      <xdr:row>4</xdr:row>
      <xdr:rowOff>148523</xdr:rowOff>
    </xdr:to>
    <xdr:sp macro="" textlink="'Sheet Design'!B6">
      <xdr:nvSpPr>
        <xdr:cNvPr id="13" name="TextBox 12">
          <a:extLst>
            <a:ext uri="{FF2B5EF4-FFF2-40B4-BE49-F238E27FC236}">
              <a16:creationId xmlns:a16="http://schemas.microsoft.com/office/drawing/2014/main" id="{4A8579F7-127B-415B-85A1-BACAFD9041CB}"/>
            </a:ext>
          </a:extLst>
        </xdr:cNvPr>
        <xdr:cNvSpPr txBox="1"/>
      </xdr:nvSpPr>
      <xdr:spPr>
        <a:xfrm>
          <a:off x="7277745" y="445576"/>
          <a:ext cx="1407762" cy="47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FDAA73-7840-4BA0-9790-02FBBA97DB6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$140.99M</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445576</xdr:colOff>
      <xdr:row>9</xdr:row>
      <xdr:rowOff>116237</xdr:rowOff>
    </xdr:from>
    <xdr:to>
      <xdr:col>12</xdr:col>
      <xdr:colOff>510151</xdr:colOff>
      <xdr:row>12</xdr:row>
      <xdr:rowOff>12912</xdr:rowOff>
    </xdr:to>
    <xdr:sp macro="" textlink="'Sheet Design'!D6">
      <xdr:nvSpPr>
        <xdr:cNvPr id="14" name="TextBox 13">
          <a:extLst>
            <a:ext uri="{FF2B5EF4-FFF2-40B4-BE49-F238E27FC236}">
              <a16:creationId xmlns:a16="http://schemas.microsoft.com/office/drawing/2014/main" id="{1C2CC556-48F1-46AB-A5AD-5C88318E212C}"/>
            </a:ext>
          </a:extLst>
        </xdr:cNvPr>
        <xdr:cNvSpPr txBox="1"/>
      </xdr:nvSpPr>
      <xdr:spPr>
        <a:xfrm>
          <a:off x="7161508" y="1859796"/>
          <a:ext cx="1407762" cy="477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CCD064-1B8A-4CAD-BD51-5B1E17BFFE2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219560</xdr:colOff>
      <xdr:row>4</xdr:row>
      <xdr:rowOff>167899</xdr:rowOff>
    </xdr:from>
    <xdr:to>
      <xdr:col>8</xdr:col>
      <xdr:colOff>452034</xdr:colOff>
      <xdr:row>6</xdr:row>
      <xdr:rowOff>180813</xdr:rowOff>
    </xdr:to>
    <xdr:sp macro="" textlink="">
      <xdr:nvSpPr>
        <xdr:cNvPr id="15" name="TextBox 14">
          <a:extLst>
            <a:ext uri="{FF2B5EF4-FFF2-40B4-BE49-F238E27FC236}">
              <a16:creationId xmlns:a16="http://schemas.microsoft.com/office/drawing/2014/main" id="{636AA6D1-912D-2B37-9C86-076B254FC25E}"/>
            </a:ext>
          </a:extLst>
        </xdr:cNvPr>
        <xdr:cNvSpPr txBox="1"/>
      </xdr:nvSpPr>
      <xdr:spPr>
        <a:xfrm>
          <a:off x="4249119" y="942814"/>
          <a:ext cx="1575661" cy="400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TOTAL SALES</a:t>
          </a:r>
        </a:p>
      </xdr:txBody>
    </xdr:sp>
    <xdr:clientData/>
  </xdr:twoCellAnchor>
  <xdr:twoCellAnchor>
    <xdr:from>
      <xdr:col>11</xdr:col>
      <xdr:colOff>12915</xdr:colOff>
      <xdr:row>4</xdr:row>
      <xdr:rowOff>167899</xdr:rowOff>
    </xdr:from>
    <xdr:to>
      <xdr:col>13</xdr:col>
      <xdr:colOff>12915</xdr:colOff>
      <xdr:row>6</xdr:row>
      <xdr:rowOff>142068</xdr:rowOff>
    </xdr:to>
    <xdr:sp macro="" textlink="">
      <xdr:nvSpPr>
        <xdr:cNvPr id="16" name="TextBox 15">
          <a:extLst>
            <a:ext uri="{FF2B5EF4-FFF2-40B4-BE49-F238E27FC236}">
              <a16:creationId xmlns:a16="http://schemas.microsoft.com/office/drawing/2014/main" id="{903E9445-91E0-4975-8095-7BED84A37C23}"/>
            </a:ext>
          </a:extLst>
        </xdr:cNvPr>
        <xdr:cNvSpPr txBox="1"/>
      </xdr:nvSpPr>
      <xdr:spPr>
        <a:xfrm>
          <a:off x="7400440" y="942814"/>
          <a:ext cx="1343187" cy="361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AVG SALES</a:t>
          </a:r>
        </a:p>
      </xdr:txBody>
    </xdr:sp>
    <xdr:clientData/>
  </xdr:twoCellAnchor>
  <xdr:twoCellAnchor>
    <xdr:from>
      <xdr:col>11</xdr:col>
      <xdr:colOff>38747</xdr:colOff>
      <xdr:row>12</xdr:row>
      <xdr:rowOff>51662</xdr:rowOff>
    </xdr:from>
    <xdr:to>
      <xdr:col>13</xdr:col>
      <xdr:colOff>193729</xdr:colOff>
      <xdr:row>13</xdr:row>
      <xdr:rowOff>167898</xdr:rowOff>
    </xdr:to>
    <xdr:sp macro="" textlink="">
      <xdr:nvSpPr>
        <xdr:cNvPr id="17" name="TextBox 16">
          <a:extLst>
            <a:ext uri="{FF2B5EF4-FFF2-40B4-BE49-F238E27FC236}">
              <a16:creationId xmlns:a16="http://schemas.microsoft.com/office/drawing/2014/main" id="{FF2C2E1D-9D81-474C-B2DB-289479DE0884}"/>
            </a:ext>
          </a:extLst>
        </xdr:cNvPr>
        <xdr:cNvSpPr txBox="1"/>
      </xdr:nvSpPr>
      <xdr:spPr>
        <a:xfrm>
          <a:off x="7426272" y="2376408"/>
          <a:ext cx="1498169" cy="309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AVG RATING</a:t>
          </a:r>
        </a:p>
      </xdr:txBody>
    </xdr:sp>
    <xdr:clientData/>
  </xdr:twoCellAnchor>
  <xdr:twoCellAnchor>
    <xdr:from>
      <xdr:col>6</xdr:col>
      <xdr:colOff>219560</xdr:colOff>
      <xdr:row>12</xdr:row>
      <xdr:rowOff>45204</xdr:rowOff>
    </xdr:from>
    <xdr:to>
      <xdr:col>9</xdr:col>
      <xdr:colOff>206645</xdr:colOff>
      <xdr:row>14</xdr:row>
      <xdr:rowOff>32289</xdr:rowOff>
    </xdr:to>
    <xdr:sp macro="" textlink="">
      <xdr:nvSpPr>
        <xdr:cNvPr id="18" name="TextBox 17">
          <a:extLst>
            <a:ext uri="{FF2B5EF4-FFF2-40B4-BE49-F238E27FC236}">
              <a16:creationId xmlns:a16="http://schemas.microsoft.com/office/drawing/2014/main" id="{527746B7-934C-439B-9CDD-9E8E71EA7061}"/>
            </a:ext>
          </a:extLst>
        </xdr:cNvPr>
        <xdr:cNvSpPr txBox="1"/>
      </xdr:nvSpPr>
      <xdr:spPr>
        <a:xfrm>
          <a:off x="4249119" y="2369950"/>
          <a:ext cx="2001865" cy="37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NUMBER</a:t>
          </a:r>
          <a:r>
            <a:rPr lang="en-IN" sz="1600" baseline="0">
              <a:latin typeface="Segoe UI Semibold" panose="020B0702040204020203" pitchFamily="34" charset="0"/>
              <a:cs typeface="Segoe UI Semibold" panose="020B0702040204020203" pitchFamily="34" charset="0"/>
            </a:rPr>
            <a:t> OF ITEMS</a:t>
          </a:r>
          <a:endParaRPr lang="en-IN" sz="16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2</xdr:colOff>
      <xdr:row>2</xdr:row>
      <xdr:rowOff>118238</xdr:rowOff>
    </xdr:from>
    <xdr:to>
      <xdr:col>14</xdr:col>
      <xdr:colOff>275576</xdr:colOff>
      <xdr:row>4</xdr:row>
      <xdr:rowOff>0</xdr:rowOff>
    </xdr:to>
    <xdr:pic>
      <xdr:nvPicPr>
        <xdr:cNvPr id="19" name="Picture 18">
          <a:extLst>
            <a:ext uri="{FF2B5EF4-FFF2-40B4-BE49-F238E27FC236}">
              <a16:creationId xmlns:a16="http://schemas.microsoft.com/office/drawing/2014/main" id="{B9191DF7-C758-D00F-2E9A-2187194618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2307" y="505696"/>
          <a:ext cx="275574" cy="269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283029</xdr:colOff>
      <xdr:row>35</xdr:row>
      <xdr:rowOff>153514</xdr:rowOff>
    </xdr:from>
    <xdr:to>
      <xdr:col>5</xdr:col>
      <xdr:colOff>65537</xdr:colOff>
      <xdr:row>38</xdr:row>
      <xdr:rowOff>15476</xdr:rowOff>
    </xdr:to>
    <xdr:pic>
      <xdr:nvPicPr>
        <xdr:cNvPr id="20" name="Picture 19">
          <a:hlinkClick xmlns:r="http://schemas.openxmlformats.org/officeDocument/2006/relationships" r:id="rId2"/>
          <a:extLst>
            <a:ext uri="{FF2B5EF4-FFF2-40B4-BE49-F238E27FC236}">
              <a16:creationId xmlns:a16="http://schemas.microsoft.com/office/drawing/2014/main" id="{2F8B4C49-1F2E-0B1E-E4B6-23D9C791653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982686" y="7011514"/>
          <a:ext cx="457422" cy="449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609599</xdr:colOff>
      <xdr:row>35</xdr:row>
      <xdr:rowOff>103675</xdr:rowOff>
    </xdr:from>
    <xdr:to>
      <xdr:col>3</xdr:col>
      <xdr:colOff>493579</xdr:colOff>
      <xdr:row>38</xdr:row>
      <xdr:rowOff>65314</xdr:rowOff>
    </xdr:to>
    <xdr:pic>
      <xdr:nvPicPr>
        <xdr:cNvPr id="21" name="Picture 20">
          <a:hlinkClick xmlns:r="http://schemas.openxmlformats.org/officeDocument/2006/relationships" r:id="rId4"/>
          <a:extLst>
            <a:ext uri="{FF2B5EF4-FFF2-40B4-BE49-F238E27FC236}">
              <a16:creationId xmlns:a16="http://schemas.microsoft.com/office/drawing/2014/main" id="{27613846-66CA-E993-00A1-62DA0F856C2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959428" y="6961675"/>
          <a:ext cx="558894" cy="549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322881</xdr:colOff>
      <xdr:row>9</xdr:row>
      <xdr:rowOff>186982</xdr:rowOff>
    </xdr:from>
    <xdr:to>
      <xdr:col>9</xdr:col>
      <xdr:colOff>580969</xdr:colOff>
      <xdr:row>11</xdr:row>
      <xdr:rowOff>51661</xdr:rowOff>
    </xdr:to>
    <xdr:pic>
      <xdr:nvPicPr>
        <xdr:cNvPr id="23" name="Picture 22">
          <a:extLst>
            <a:ext uri="{FF2B5EF4-FFF2-40B4-BE49-F238E27FC236}">
              <a16:creationId xmlns:a16="http://schemas.microsoft.com/office/drawing/2014/main" id="{09656EF1-F7CD-2224-C2BD-FC40B631661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367220" y="1930541"/>
          <a:ext cx="258088" cy="252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xdr:colOff>
      <xdr:row>9</xdr:row>
      <xdr:rowOff>180814</xdr:rowOff>
    </xdr:from>
    <xdr:to>
      <xdr:col>14</xdr:col>
      <xdr:colOff>304063</xdr:colOff>
      <xdr:row>11</xdr:row>
      <xdr:rowOff>90407</xdr:rowOff>
    </xdr:to>
    <xdr:pic>
      <xdr:nvPicPr>
        <xdr:cNvPr id="24" name="Picture 23">
          <a:extLst>
            <a:ext uri="{FF2B5EF4-FFF2-40B4-BE49-F238E27FC236}">
              <a16:creationId xmlns:a16="http://schemas.microsoft.com/office/drawing/2014/main" id="{464067A3-5FE7-A9C9-3664-AFCB1739CCA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402306" y="1924373"/>
          <a:ext cx="304062" cy="297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258306</xdr:colOff>
      <xdr:row>2</xdr:row>
      <xdr:rowOff>180728</xdr:rowOff>
    </xdr:from>
    <xdr:to>
      <xdr:col>9</xdr:col>
      <xdr:colOff>568272</xdr:colOff>
      <xdr:row>4</xdr:row>
      <xdr:rowOff>96089</xdr:rowOff>
    </xdr:to>
    <xdr:pic>
      <xdr:nvPicPr>
        <xdr:cNvPr id="25" name="Picture 24">
          <a:extLst>
            <a:ext uri="{FF2B5EF4-FFF2-40B4-BE49-F238E27FC236}">
              <a16:creationId xmlns:a16="http://schemas.microsoft.com/office/drawing/2014/main" id="{05626F32-FC95-E05A-9F5E-4F82D9618583}"/>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02645" y="568186"/>
          <a:ext cx="309966" cy="302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496416</xdr:colOff>
      <xdr:row>8</xdr:row>
      <xdr:rowOff>152401</xdr:rowOff>
    </xdr:from>
    <xdr:to>
      <xdr:col>3</xdr:col>
      <xdr:colOff>60273</xdr:colOff>
      <xdr:row>9</xdr:row>
      <xdr:rowOff>184853</xdr:rowOff>
    </xdr:to>
    <xdr:pic>
      <xdr:nvPicPr>
        <xdr:cNvPr id="26" name="Picture 25">
          <a:extLst>
            <a:ext uri="{FF2B5EF4-FFF2-40B4-BE49-F238E27FC236}">
              <a16:creationId xmlns:a16="http://schemas.microsoft.com/office/drawing/2014/main" id="{83BCCF9A-61BF-F536-213C-7828D9C9F5A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826452" y="1704110"/>
          <a:ext cx="228876" cy="226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77491</xdr:colOff>
      <xdr:row>15</xdr:row>
      <xdr:rowOff>51661</xdr:rowOff>
    </xdr:from>
    <xdr:to>
      <xdr:col>14</xdr:col>
      <xdr:colOff>516610</xdr:colOff>
      <xdr:row>38</xdr:row>
      <xdr:rowOff>180813</xdr:rowOff>
    </xdr:to>
    <xdr:sp macro="" textlink="">
      <xdr:nvSpPr>
        <xdr:cNvPr id="27" name="Rectangle: Rounded Corners 26">
          <a:extLst>
            <a:ext uri="{FF2B5EF4-FFF2-40B4-BE49-F238E27FC236}">
              <a16:creationId xmlns:a16="http://schemas.microsoft.com/office/drawing/2014/main" id="{8EF9340C-5479-4AE7-A493-B78A37C4905D}"/>
            </a:ext>
          </a:extLst>
        </xdr:cNvPr>
        <xdr:cNvSpPr/>
      </xdr:nvSpPr>
      <xdr:spPr>
        <a:xfrm>
          <a:off x="4107050" y="2957593"/>
          <a:ext cx="5811865" cy="4584915"/>
        </a:xfrm>
        <a:prstGeom prst="roundRect">
          <a:avLst>
            <a:gd name="adj" fmla="val 5725"/>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154983</xdr:colOff>
      <xdr:row>17</xdr:row>
      <xdr:rowOff>142065</xdr:rowOff>
    </xdr:from>
    <xdr:to>
      <xdr:col>9</xdr:col>
      <xdr:colOff>426720</xdr:colOff>
      <xdr:row>26</xdr:row>
      <xdr:rowOff>191588</xdr:rowOff>
    </xdr:to>
    <xdr:graphicFrame macro="">
      <xdr:nvGraphicFramePr>
        <xdr:cNvPr id="28" name="Chart 27">
          <a:extLst>
            <a:ext uri="{FF2B5EF4-FFF2-40B4-BE49-F238E27FC236}">
              <a16:creationId xmlns:a16="http://schemas.microsoft.com/office/drawing/2014/main" id="{52AE1184-A78F-4E0E-BBAE-3BA6735B7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129152</xdr:colOff>
      <xdr:row>15</xdr:row>
      <xdr:rowOff>154983</xdr:rowOff>
    </xdr:from>
    <xdr:to>
      <xdr:col>9</xdr:col>
      <xdr:colOff>116237</xdr:colOff>
      <xdr:row>17</xdr:row>
      <xdr:rowOff>142067</xdr:rowOff>
    </xdr:to>
    <xdr:sp macro="" textlink="">
      <xdr:nvSpPr>
        <xdr:cNvPr id="29" name="TextBox 28">
          <a:extLst>
            <a:ext uri="{FF2B5EF4-FFF2-40B4-BE49-F238E27FC236}">
              <a16:creationId xmlns:a16="http://schemas.microsoft.com/office/drawing/2014/main" id="{8C96F3F1-B578-44A3-BC7A-9DBA4C07234F}"/>
            </a:ext>
          </a:extLst>
        </xdr:cNvPr>
        <xdr:cNvSpPr txBox="1"/>
      </xdr:nvSpPr>
      <xdr:spPr>
        <a:xfrm>
          <a:off x="4158711" y="3060915"/>
          <a:ext cx="2001865" cy="374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FAT</a:t>
          </a:r>
          <a:r>
            <a:rPr lang="en-IN" sz="1600" baseline="0">
              <a:latin typeface="Segoe UI Semibold" panose="020B0702040204020203" pitchFamily="34" charset="0"/>
              <a:cs typeface="Segoe UI Semibold" panose="020B0702040204020203" pitchFamily="34" charset="0"/>
            </a:rPr>
            <a:t> CONTENT</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10</xdr:col>
      <xdr:colOff>297051</xdr:colOff>
      <xdr:row>15</xdr:row>
      <xdr:rowOff>51661</xdr:rowOff>
    </xdr:from>
    <xdr:to>
      <xdr:col>10</xdr:col>
      <xdr:colOff>297051</xdr:colOff>
      <xdr:row>38</xdr:row>
      <xdr:rowOff>180813</xdr:rowOff>
    </xdr:to>
    <xdr:cxnSp macro="">
      <xdr:nvCxnSpPr>
        <xdr:cNvPr id="31" name="Straight Connector 30">
          <a:extLst>
            <a:ext uri="{FF2B5EF4-FFF2-40B4-BE49-F238E27FC236}">
              <a16:creationId xmlns:a16="http://schemas.microsoft.com/office/drawing/2014/main" id="{05E2E5C7-7345-0F1F-F238-AC13ED20905B}"/>
            </a:ext>
          </a:extLst>
        </xdr:cNvPr>
        <xdr:cNvCxnSpPr>
          <a:stCxn id="27" idx="0"/>
          <a:endCxn id="27" idx="2"/>
        </xdr:cNvCxnSpPr>
      </xdr:nvCxnSpPr>
      <xdr:spPr>
        <a:xfrm>
          <a:off x="7012983" y="2957593"/>
          <a:ext cx="0" cy="4584915"/>
        </a:xfrm>
        <a:prstGeom prst="line">
          <a:avLst/>
        </a:prstGeom>
        <a:ln w="25400">
          <a:solidFill>
            <a:schemeClr val="bg2">
              <a:lumMod val="9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38746</xdr:colOff>
      <xdr:row>27</xdr:row>
      <xdr:rowOff>38745</xdr:rowOff>
    </xdr:from>
    <xdr:to>
      <xdr:col>10</xdr:col>
      <xdr:colOff>258305</xdr:colOff>
      <xdr:row>27</xdr:row>
      <xdr:rowOff>51662</xdr:rowOff>
    </xdr:to>
    <xdr:cxnSp macro="">
      <xdr:nvCxnSpPr>
        <xdr:cNvPr id="32" name="Straight Connector 31">
          <a:extLst>
            <a:ext uri="{FF2B5EF4-FFF2-40B4-BE49-F238E27FC236}">
              <a16:creationId xmlns:a16="http://schemas.microsoft.com/office/drawing/2014/main" id="{C42B5761-67A4-4D52-9006-D38C75AD6BEE}"/>
            </a:ext>
          </a:extLst>
        </xdr:cNvPr>
        <xdr:cNvCxnSpPr/>
      </xdr:nvCxnSpPr>
      <xdr:spPr>
        <a:xfrm flipV="1">
          <a:off x="4068305" y="5269423"/>
          <a:ext cx="2905932" cy="12917"/>
        </a:xfrm>
        <a:prstGeom prst="line">
          <a:avLst/>
        </a:prstGeom>
        <a:ln w="25400">
          <a:solidFill>
            <a:schemeClr val="bg2">
              <a:lumMod val="9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182112</xdr:colOff>
      <xdr:row>29</xdr:row>
      <xdr:rowOff>29740</xdr:rowOff>
    </xdr:from>
    <xdr:to>
      <xdr:col>10</xdr:col>
      <xdr:colOff>161365</xdr:colOff>
      <xdr:row>38</xdr:row>
      <xdr:rowOff>53788</xdr:rowOff>
    </xdr:to>
    <xdr:graphicFrame macro="">
      <xdr:nvGraphicFramePr>
        <xdr:cNvPr id="37" name="Chart 36">
          <a:extLst>
            <a:ext uri="{FF2B5EF4-FFF2-40B4-BE49-F238E27FC236}">
              <a16:creationId xmlns:a16="http://schemas.microsoft.com/office/drawing/2014/main" id="{7ED4CD1D-1D7A-45FB-96E3-441CE1CFC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122879</xdr:colOff>
      <xdr:row>27</xdr:row>
      <xdr:rowOff>53284</xdr:rowOff>
    </xdr:from>
    <xdr:to>
      <xdr:col>9</xdr:col>
      <xdr:colOff>548640</xdr:colOff>
      <xdr:row>29</xdr:row>
      <xdr:rowOff>40368</xdr:rowOff>
    </xdr:to>
    <xdr:sp macro="" textlink="">
      <xdr:nvSpPr>
        <xdr:cNvPr id="39" name="TextBox 38">
          <a:extLst>
            <a:ext uri="{FF2B5EF4-FFF2-40B4-BE49-F238E27FC236}">
              <a16:creationId xmlns:a16="http://schemas.microsoft.com/office/drawing/2014/main" id="{1C5DF9D0-9B8B-4543-8FDA-83799CD94521}"/>
            </a:ext>
          </a:extLst>
        </xdr:cNvPr>
        <xdr:cNvSpPr txBox="1"/>
      </xdr:nvSpPr>
      <xdr:spPr>
        <a:xfrm>
          <a:off x="4146239" y="5461307"/>
          <a:ext cx="2437441" cy="38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FAT</a:t>
          </a:r>
          <a:r>
            <a:rPr lang="en-IN" sz="1600" baseline="0">
              <a:latin typeface="Segoe UI Semibold" panose="020B0702040204020203" pitchFamily="34" charset="0"/>
              <a:cs typeface="Segoe UI Semibold" panose="020B0702040204020203" pitchFamily="34" charset="0"/>
            </a:rPr>
            <a:t> BY OUTLET LOC</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10</xdr:col>
      <xdr:colOff>270704</xdr:colOff>
      <xdr:row>17</xdr:row>
      <xdr:rowOff>152302</xdr:rowOff>
    </xdr:from>
    <xdr:to>
      <xdr:col>14</xdr:col>
      <xdr:colOff>356680</xdr:colOff>
      <xdr:row>37</xdr:row>
      <xdr:rowOff>162127</xdr:rowOff>
    </xdr:to>
    <xdr:graphicFrame macro="">
      <xdr:nvGraphicFramePr>
        <xdr:cNvPr id="22" name="Chart 21">
          <a:extLst>
            <a:ext uri="{FF2B5EF4-FFF2-40B4-BE49-F238E27FC236}">
              <a16:creationId xmlns:a16="http://schemas.microsoft.com/office/drawing/2014/main" id="{359D73C5-260B-49C8-B30C-AEC1C54F9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370008</xdr:colOff>
      <xdr:row>15</xdr:row>
      <xdr:rowOff>104146</xdr:rowOff>
    </xdr:from>
    <xdr:to>
      <xdr:col>13</xdr:col>
      <xdr:colOff>357093</xdr:colOff>
      <xdr:row>17</xdr:row>
      <xdr:rowOff>91230</xdr:rowOff>
    </xdr:to>
    <xdr:sp macro="" textlink="">
      <xdr:nvSpPr>
        <xdr:cNvPr id="30" name="TextBox 29">
          <a:extLst>
            <a:ext uri="{FF2B5EF4-FFF2-40B4-BE49-F238E27FC236}">
              <a16:creationId xmlns:a16="http://schemas.microsoft.com/office/drawing/2014/main" id="{A279FFA6-9200-40BC-BBD1-F89BE9477213}"/>
            </a:ext>
          </a:extLst>
        </xdr:cNvPr>
        <xdr:cNvSpPr txBox="1"/>
      </xdr:nvSpPr>
      <xdr:spPr>
        <a:xfrm>
          <a:off x="7098306" y="3022444"/>
          <a:ext cx="2005574" cy="376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ITEM TYPE</a:t>
          </a:r>
        </a:p>
      </xdr:txBody>
    </xdr:sp>
    <xdr:clientData/>
  </xdr:twoCellAnchor>
  <xdr:twoCellAnchor>
    <xdr:from>
      <xdr:col>14</xdr:col>
      <xdr:colOff>607392</xdr:colOff>
      <xdr:row>1</xdr:row>
      <xdr:rowOff>121477</xdr:rowOff>
    </xdr:from>
    <xdr:to>
      <xdr:col>23</xdr:col>
      <xdr:colOff>461205</xdr:colOff>
      <xdr:row>38</xdr:row>
      <xdr:rowOff>187739</xdr:rowOff>
    </xdr:to>
    <xdr:sp macro="" textlink="">
      <xdr:nvSpPr>
        <xdr:cNvPr id="33" name="Rectangle: Rounded Corners 32">
          <a:extLst>
            <a:ext uri="{FF2B5EF4-FFF2-40B4-BE49-F238E27FC236}">
              <a16:creationId xmlns:a16="http://schemas.microsoft.com/office/drawing/2014/main" id="{9374699E-4594-41B4-88BF-DBE7B7C94E69}"/>
            </a:ext>
          </a:extLst>
        </xdr:cNvPr>
        <xdr:cNvSpPr/>
      </xdr:nvSpPr>
      <xdr:spPr>
        <a:xfrm>
          <a:off x="10038522" y="320260"/>
          <a:ext cx="5916683" cy="7421218"/>
        </a:xfrm>
        <a:prstGeom prst="roundRect">
          <a:avLst>
            <a:gd name="adj" fmla="val 5725"/>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132521</xdr:colOff>
      <xdr:row>3</xdr:row>
      <xdr:rowOff>132522</xdr:rowOff>
    </xdr:from>
    <xdr:to>
      <xdr:col>23</xdr:col>
      <xdr:colOff>33130</xdr:colOff>
      <xdr:row>15</xdr:row>
      <xdr:rowOff>143566</xdr:rowOff>
    </xdr:to>
    <xdr:graphicFrame macro="">
      <xdr:nvGraphicFramePr>
        <xdr:cNvPr id="34" name="Chart 33">
          <a:extLst>
            <a:ext uri="{FF2B5EF4-FFF2-40B4-BE49-F238E27FC236}">
              <a16:creationId xmlns:a16="http://schemas.microsoft.com/office/drawing/2014/main" id="{775A2C86-69E9-4264-BEFF-CD299C11D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106648</xdr:colOff>
      <xdr:row>2</xdr:row>
      <xdr:rowOff>176379</xdr:rowOff>
    </xdr:from>
    <xdr:to>
      <xdr:col>20</xdr:col>
      <xdr:colOff>139777</xdr:colOff>
      <xdr:row>4</xdr:row>
      <xdr:rowOff>176381</xdr:rowOff>
    </xdr:to>
    <xdr:sp macro="" textlink="">
      <xdr:nvSpPr>
        <xdr:cNvPr id="35" name="TextBox 34">
          <a:extLst>
            <a:ext uri="{FF2B5EF4-FFF2-40B4-BE49-F238E27FC236}">
              <a16:creationId xmlns:a16="http://schemas.microsoft.com/office/drawing/2014/main" id="{31F1759A-0F53-4781-90A9-0D7C76363C69}"/>
            </a:ext>
          </a:extLst>
        </xdr:cNvPr>
        <xdr:cNvSpPr txBox="1"/>
      </xdr:nvSpPr>
      <xdr:spPr>
        <a:xfrm>
          <a:off x="10230362" y="568265"/>
          <a:ext cx="3407701" cy="39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OUTLET</a:t>
          </a:r>
          <a:r>
            <a:rPr lang="en-IN" sz="1600" baseline="0">
              <a:latin typeface="Segoe UI Semibold" panose="020B0702040204020203" pitchFamily="34" charset="0"/>
              <a:cs typeface="Segoe UI Semibold" panose="020B0702040204020203" pitchFamily="34" charset="0"/>
            </a:rPr>
            <a:t> ESTABLISHMENT</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15</xdr:col>
      <xdr:colOff>104347</xdr:colOff>
      <xdr:row>18</xdr:row>
      <xdr:rowOff>103185</xdr:rowOff>
    </xdr:from>
    <xdr:to>
      <xdr:col>18</xdr:col>
      <xdr:colOff>636494</xdr:colOff>
      <xdr:row>27</xdr:row>
      <xdr:rowOff>53789</xdr:rowOff>
    </xdr:to>
    <xdr:graphicFrame macro="">
      <xdr:nvGraphicFramePr>
        <xdr:cNvPr id="36" name="Chart 35">
          <a:extLst>
            <a:ext uri="{FF2B5EF4-FFF2-40B4-BE49-F238E27FC236}">
              <a16:creationId xmlns:a16="http://schemas.microsoft.com/office/drawing/2014/main" id="{A04E3479-7357-4BE5-A892-212BA60F4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99865</xdr:colOff>
      <xdr:row>16</xdr:row>
      <xdr:rowOff>146088</xdr:rowOff>
    </xdr:from>
    <xdr:to>
      <xdr:col>17</xdr:col>
      <xdr:colOff>228600</xdr:colOff>
      <xdr:row>18</xdr:row>
      <xdr:rowOff>130629</xdr:rowOff>
    </xdr:to>
    <xdr:sp macro="" textlink="">
      <xdr:nvSpPr>
        <xdr:cNvPr id="38" name="TextBox 37">
          <a:extLst>
            <a:ext uri="{FF2B5EF4-FFF2-40B4-BE49-F238E27FC236}">
              <a16:creationId xmlns:a16="http://schemas.microsoft.com/office/drawing/2014/main" id="{BE8933F5-A267-48C3-92A8-CA9184A54748}"/>
            </a:ext>
          </a:extLst>
        </xdr:cNvPr>
        <xdr:cNvSpPr txBox="1"/>
      </xdr:nvSpPr>
      <xdr:spPr>
        <a:xfrm>
          <a:off x="10223579" y="3281174"/>
          <a:ext cx="1478564" cy="376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OUTLET SIZE</a:t>
          </a:r>
        </a:p>
      </xdr:txBody>
    </xdr:sp>
    <xdr:clientData/>
  </xdr:twoCellAnchor>
  <xdr:twoCellAnchor>
    <xdr:from>
      <xdr:col>15</xdr:col>
      <xdr:colOff>78735</xdr:colOff>
      <xdr:row>27</xdr:row>
      <xdr:rowOff>26894</xdr:rowOff>
    </xdr:from>
    <xdr:to>
      <xdr:col>23</xdr:col>
      <xdr:colOff>430306</xdr:colOff>
      <xdr:row>27</xdr:row>
      <xdr:rowOff>64237</xdr:rowOff>
    </xdr:to>
    <xdr:cxnSp macro="">
      <xdr:nvCxnSpPr>
        <xdr:cNvPr id="40" name="Straight Connector 39">
          <a:extLst>
            <a:ext uri="{FF2B5EF4-FFF2-40B4-BE49-F238E27FC236}">
              <a16:creationId xmlns:a16="http://schemas.microsoft.com/office/drawing/2014/main" id="{F6AE6A69-29EC-42E5-8FE6-7F0B9D1DB45D}"/>
            </a:ext>
          </a:extLst>
        </xdr:cNvPr>
        <xdr:cNvCxnSpPr/>
      </xdr:nvCxnSpPr>
      <xdr:spPr>
        <a:xfrm flipV="1">
          <a:off x="10164029" y="5351929"/>
          <a:ext cx="5730395" cy="37343"/>
        </a:xfrm>
        <a:prstGeom prst="line">
          <a:avLst/>
        </a:prstGeom>
        <a:ln w="25400">
          <a:solidFill>
            <a:schemeClr val="bg2">
              <a:lumMod val="9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19</xdr:col>
      <xdr:colOff>111231</xdr:colOff>
      <xdr:row>17</xdr:row>
      <xdr:rowOff>182880</xdr:rowOff>
    </xdr:from>
    <xdr:to>
      <xdr:col>23</xdr:col>
      <xdr:colOff>266700</xdr:colOff>
      <xdr:row>27</xdr:row>
      <xdr:rowOff>23782</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1E3AF4A1-1D7C-4C67-9B76-4406909BAE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2851871" y="3550920"/>
              <a:ext cx="2837709" cy="18221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79182</xdr:colOff>
      <xdr:row>16</xdr:row>
      <xdr:rowOff>106900</xdr:rowOff>
    </xdr:from>
    <xdr:to>
      <xdr:col>22</xdr:col>
      <xdr:colOff>91440</xdr:colOff>
      <xdr:row>18</xdr:row>
      <xdr:rowOff>91441</xdr:rowOff>
    </xdr:to>
    <xdr:sp macro="" textlink="">
      <xdr:nvSpPr>
        <xdr:cNvPr id="42" name="TextBox 41">
          <a:extLst>
            <a:ext uri="{FF2B5EF4-FFF2-40B4-BE49-F238E27FC236}">
              <a16:creationId xmlns:a16="http://schemas.microsoft.com/office/drawing/2014/main" id="{4FB0AB3A-685E-423A-A50E-AF93890E0611}"/>
            </a:ext>
          </a:extLst>
        </xdr:cNvPr>
        <xdr:cNvSpPr txBox="1"/>
      </xdr:nvSpPr>
      <xdr:spPr>
        <a:xfrm>
          <a:off x="12819822" y="3276820"/>
          <a:ext cx="2023938" cy="380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OUTLET LOCATION</a:t>
          </a:r>
        </a:p>
      </xdr:txBody>
    </xdr:sp>
    <xdr:clientData/>
  </xdr:twoCellAnchor>
  <xdr:twoCellAnchor>
    <xdr:from>
      <xdr:col>18</xdr:col>
      <xdr:colOff>587829</xdr:colOff>
      <xdr:row>17</xdr:row>
      <xdr:rowOff>76200</xdr:rowOff>
    </xdr:from>
    <xdr:to>
      <xdr:col>18</xdr:col>
      <xdr:colOff>609600</xdr:colOff>
      <xdr:row>27</xdr:row>
      <xdr:rowOff>54428</xdr:rowOff>
    </xdr:to>
    <xdr:cxnSp macro="">
      <xdr:nvCxnSpPr>
        <xdr:cNvPr id="43" name="Straight Connector 42">
          <a:extLst>
            <a:ext uri="{FF2B5EF4-FFF2-40B4-BE49-F238E27FC236}">
              <a16:creationId xmlns:a16="http://schemas.microsoft.com/office/drawing/2014/main" id="{581A7D09-3D6A-4501-AFEC-71BD58A86D05}"/>
            </a:ext>
          </a:extLst>
        </xdr:cNvPr>
        <xdr:cNvCxnSpPr/>
      </xdr:nvCxnSpPr>
      <xdr:spPr>
        <a:xfrm>
          <a:off x="12736286" y="3407229"/>
          <a:ext cx="21771" cy="1937656"/>
        </a:xfrm>
        <a:prstGeom prst="line">
          <a:avLst/>
        </a:prstGeom>
        <a:ln w="25400">
          <a:solidFill>
            <a:schemeClr val="bg2">
              <a:lumMod val="90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644152</xdr:colOff>
      <xdr:row>28</xdr:row>
      <xdr:rowOff>9078</xdr:rowOff>
    </xdr:from>
    <xdr:to>
      <xdr:col>17</xdr:col>
      <xdr:colOff>664028</xdr:colOff>
      <xdr:row>38</xdr:row>
      <xdr:rowOff>28112</xdr:rowOff>
    </xdr:to>
    <xdr:graphicFrame macro="">
      <xdr:nvGraphicFramePr>
        <xdr:cNvPr id="51" name="Chart 50">
          <a:extLst>
            <a:ext uri="{FF2B5EF4-FFF2-40B4-BE49-F238E27FC236}">
              <a16:creationId xmlns:a16="http://schemas.microsoft.com/office/drawing/2014/main" id="{66EFCB69-1710-4F40-96CA-B70FA22C0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56322</xdr:colOff>
      <xdr:row>27</xdr:row>
      <xdr:rowOff>37231</xdr:rowOff>
    </xdr:from>
    <xdr:to>
      <xdr:col>18</xdr:col>
      <xdr:colOff>43407</xdr:colOff>
      <xdr:row>29</xdr:row>
      <xdr:rowOff>24315</xdr:rowOff>
    </xdr:to>
    <xdr:sp macro="" textlink="">
      <xdr:nvSpPr>
        <xdr:cNvPr id="53" name="TextBox 52">
          <a:extLst>
            <a:ext uri="{FF2B5EF4-FFF2-40B4-BE49-F238E27FC236}">
              <a16:creationId xmlns:a16="http://schemas.microsoft.com/office/drawing/2014/main" id="{731505ED-3C2B-41A0-AE5C-44DAA9A758B5}"/>
            </a:ext>
          </a:extLst>
        </xdr:cNvPr>
        <xdr:cNvSpPr txBox="1"/>
      </xdr:nvSpPr>
      <xdr:spPr>
        <a:xfrm>
          <a:off x="10180036" y="5327688"/>
          <a:ext cx="2011828" cy="378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OUTLET</a:t>
          </a:r>
          <a:r>
            <a:rPr lang="en-IN" sz="1600" baseline="0">
              <a:latin typeface="Segoe UI Semibold" panose="020B0702040204020203" pitchFamily="34" charset="0"/>
              <a:cs typeface="Segoe UI Semibold" panose="020B0702040204020203" pitchFamily="34" charset="0"/>
            </a:rPr>
            <a:t> TYPE</a:t>
          </a:r>
        </a:p>
      </xdr:txBody>
    </xdr:sp>
    <xdr:clientData/>
  </xdr:twoCellAnchor>
  <xdr:twoCellAnchor>
    <xdr:from>
      <xdr:col>17</xdr:col>
      <xdr:colOff>546177</xdr:colOff>
      <xdr:row>28</xdr:row>
      <xdr:rowOff>19964</xdr:rowOff>
    </xdr:from>
    <xdr:to>
      <xdr:col>20</xdr:col>
      <xdr:colOff>566234</xdr:colOff>
      <xdr:row>38</xdr:row>
      <xdr:rowOff>38998</xdr:rowOff>
    </xdr:to>
    <xdr:graphicFrame macro="">
      <xdr:nvGraphicFramePr>
        <xdr:cNvPr id="54" name="Chart 53">
          <a:extLst>
            <a:ext uri="{FF2B5EF4-FFF2-40B4-BE49-F238E27FC236}">
              <a16:creationId xmlns:a16="http://schemas.microsoft.com/office/drawing/2014/main" id="{3B73D577-A747-4051-98A1-5C46416B0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413657</xdr:colOff>
      <xdr:row>28</xdr:row>
      <xdr:rowOff>4505</xdr:rowOff>
    </xdr:from>
    <xdr:to>
      <xdr:col>23</xdr:col>
      <xdr:colOff>433714</xdr:colOff>
      <xdr:row>38</xdr:row>
      <xdr:rowOff>23539</xdr:rowOff>
    </xdr:to>
    <xdr:graphicFrame macro="">
      <xdr:nvGraphicFramePr>
        <xdr:cNvPr id="55" name="Chart 54">
          <a:extLst>
            <a:ext uri="{FF2B5EF4-FFF2-40B4-BE49-F238E27FC236}">
              <a16:creationId xmlns:a16="http://schemas.microsoft.com/office/drawing/2014/main" id="{0584170F-4098-43A2-B96D-255CD398C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99849</xdr:colOff>
      <xdr:row>37</xdr:row>
      <xdr:rowOff>78827</xdr:rowOff>
    </xdr:from>
    <xdr:to>
      <xdr:col>17</xdr:col>
      <xdr:colOff>262760</xdr:colOff>
      <xdr:row>38</xdr:row>
      <xdr:rowOff>115613</xdr:rowOff>
    </xdr:to>
    <xdr:sp macro="" textlink="">
      <xdr:nvSpPr>
        <xdr:cNvPr id="56" name="TextBox 55">
          <a:extLst>
            <a:ext uri="{FF2B5EF4-FFF2-40B4-BE49-F238E27FC236}">
              <a16:creationId xmlns:a16="http://schemas.microsoft.com/office/drawing/2014/main" id="{16167953-79EB-4B04-B88E-E6293B241667}"/>
            </a:ext>
          </a:extLst>
        </xdr:cNvPr>
        <xdr:cNvSpPr txBox="1"/>
      </xdr:nvSpPr>
      <xdr:spPr>
        <a:xfrm>
          <a:off x="10862442" y="7467599"/>
          <a:ext cx="835573" cy="23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194153</xdr:colOff>
      <xdr:row>37</xdr:row>
      <xdr:rowOff>76610</xdr:rowOff>
    </xdr:from>
    <xdr:to>
      <xdr:col>19</xdr:col>
      <xdr:colOff>357064</xdr:colOff>
      <xdr:row>38</xdr:row>
      <xdr:rowOff>113398</xdr:rowOff>
    </xdr:to>
    <xdr:sp macro="" textlink="">
      <xdr:nvSpPr>
        <xdr:cNvPr id="57" name="TextBox 56">
          <a:extLst>
            <a:ext uri="{FF2B5EF4-FFF2-40B4-BE49-F238E27FC236}">
              <a16:creationId xmlns:a16="http://schemas.microsoft.com/office/drawing/2014/main" id="{780F8225-DEDF-4C49-910C-69CF67798C06}"/>
            </a:ext>
          </a:extLst>
        </xdr:cNvPr>
        <xdr:cNvSpPr txBox="1"/>
      </xdr:nvSpPr>
      <xdr:spPr>
        <a:xfrm>
          <a:off x="12302070" y="7465382"/>
          <a:ext cx="835573" cy="23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Semibold" panose="020B0702040204020203" pitchFamily="34" charset="0"/>
              <a:cs typeface="Segoe UI Semibold" panose="020B0702040204020203" pitchFamily="34" charset="0"/>
            </a:rPr>
            <a:t>Avg Sales</a:t>
          </a:r>
        </a:p>
      </xdr:txBody>
    </xdr:sp>
    <xdr:clientData/>
  </xdr:twoCellAnchor>
  <xdr:twoCellAnchor>
    <xdr:from>
      <xdr:col>20</xdr:col>
      <xdr:colOff>530774</xdr:colOff>
      <xdr:row>37</xdr:row>
      <xdr:rowOff>68318</xdr:rowOff>
    </xdr:from>
    <xdr:to>
      <xdr:col>22</xdr:col>
      <xdr:colOff>73573</xdr:colOff>
      <xdr:row>38</xdr:row>
      <xdr:rowOff>110358</xdr:rowOff>
    </xdr:to>
    <xdr:sp macro="" textlink="">
      <xdr:nvSpPr>
        <xdr:cNvPr id="58" name="TextBox 57">
          <a:extLst>
            <a:ext uri="{FF2B5EF4-FFF2-40B4-BE49-F238E27FC236}">
              <a16:creationId xmlns:a16="http://schemas.microsoft.com/office/drawing/2014/main" id="{87B46368-4318-461D-A47B-61AD5091BD36}"/>
            </a:ext>
          </a:extLst>
        </xdr:cNvPr>
        <xdr:cNvSpPr txBox="1"/>
      </xdr:nvSpPr>
      <xdr:spPr>
        <a:xfrm>
          <a:off x="13984015" y="7457090"/>
          <a:ext cx="888124" cy="241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latin typeface="Segoe UI Semibold" panose="020B0702040204020203" pitchFamily="34" charset="0"/>
              <a:cs typeface="Segoe UI Semibold" panose="020B0702040204020203" pitchFamily="34" charset="0"/>
            </a:rPr>
            <a:t>No</a:t>
          </a:r>
          <a:r>
            <a:rPr lang="en-IN" sz="1000" baseline="0">
              <a:latin typeface="Segoe UI Semibold" panose="020B0702040204020203" pitchFamily="34" charset="0"/>
              <a:cs typeface="Segoe UI Semibold" panose="020B0702040204020203" pitchFamily="34" charset="0"/>
            </a:rPr>
            <a:t> of Items</a:t>
          </a:r>
          <a:endParaRPr lang="en-IN" sz="1000">
            <a:latin typeface="Segoe UI Semibold" panose="020B0702040204020203" pitchFamily="34" charset="0"/>
            <a:cs typeface="Segoe UI Semibold" panose="020B0702040204020203" pitchFamily="34" charset="0"/>
          </a:endParaRPr>
        </a:p>
      </xdr:txBody>
    </xdr:sp>
    <xdr:clientData/>
  </xdr:twoCellAnchor>
  <xdr:twoCellAnchor>
    <xdr:from>
      <xdr:col>3</xdr:col>
      <xdr:colOff>47496</xdr:colOff>
      <xdr:row>8</xdr:row>
      <xdr:rowOff>118704</xdr:rowOff>
    </xdr:from>
    <xdr:to>
      <xdr:col>5</xdr:col>
      <xdr:colOff>332509</xdr:colOff>
      <xdr:row>10</xdr:row>
      <xdr:rowOff>83129</xdr:rowOff>
    </xdr:to>
    <xdr:sp macro="" textlink="">
      <xdr:nvSpPr>
        <xdr:cNvPr id="59" name="TextBox 58">
          <a:extLst>
            <a:ext uri="{FF2B5EF4-FFF2-40B4-BE49-F238E27FC236}">
              <a16:creationId xmlns:a16="http://schemas.microsoft.com/office/drawing/2014/main" id="{5838D583-D223-4343-8818-891057DE2A03}"/>
            </a:ext>
          </a:extLst>
        </xdr:cNvPr>
        <xdr:cNvSpPr txBox="1"/>
      </xdr:nvSpPr>
      <xdr:spPr>
        <a:xfrm>
          <a:off x="2042551" y="1670413"/>
          <a:ext cx="1615049" cy="352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ptos Display" panose="020B0004020202020204" pitchFamily="34" charset="0"/>
              <a:cs typeface="Segoe UI Semibold" panose="020B0702040204020203" pitchFamily="34" charset="0"/>
            </a:rPr>
            <a:t>FILTER</a:t>
          </a:r>
          <a:r>
            <a:rPr lang="en-IN" sz="1400" b="1" baseline="0">
              <a:latin typeface="Aptos Display" panose="020B0004020202020204" pitchFamily="34" charset="0"/>
              <a:cs typeface="Segoe UI Semibold" panose="020B0702040204020203" pitchFamily="34" charset="0"/>
            </a:rPr>
            <a:t> PANEL</a:t>
          </a:r>
          <a:endParaRPr lang="en-IN" sz="1400" b="1">
            <a:latin typeface="Aptos Display" panose="020B0004020202020204" pitchFamily="34" charset="0"/>
            <a:cs typeface="Segoe UI Semibold" panose="020B0702040204020203" pitchFamily="34" charset="0"/>
          </a:endParaRPr>
        </a:p>
      </xdr:txBody>
    </xdr:sp>
    <xdr:clientData/>
  </xdr:twoCellAnchor>
  <xdr:twoCellAnchor editAs="oneCell">
    <xdr:from>
      <xdr:col>2</xdr:col>
      <xdr:colOff>472190</xdr:colOff>
      <xdr:row>10</xdr:row>
      <xdr:rowOff>162931</xdr:rowOff>
    </xdr:from>
    <xdr:to>
      <xdr:col>5</xdr:col>
      <xdr:colOff>298937</xdr:colOff>
      <xdr:row>17</xdr:row>
      <xdr:rowOff>76200</xdr:rowOff>
    </xdr:to>
    <mc:AlternateContent xmlns:mc="http://schemas.openxmlformats.org/markup-compatibility/2006">
      <mc:Choice xmlns:a14="http://schemas.microsoft.com/office/drawing/2010/main" Requires="a14">
        <xdr:graphicFrame macro="">
          <xdr:nvGraphicFramePr>
            <xdr:cNvPr id="60" name="Outlet Size 1">
              <a:extLst>
                <a:ext uri="{FF2B5EF4-FFF2-40B4-BE49-F238E27FC236}">
                  <a16:creationId xmlns:a16="http://schemas.microsoft.com/office/drawing/2014/main" id="{0BC2EE74-8A34-44E3-999F-23F14D2911E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822019" y="2122360"/>
              <a:ext cx="1851489" cy="1284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516571</xdr:colOff>
      <xdr:row>18</xdr:row>
      <xdr:rowOff>95942</xdr:rowOff>
    </xdr:from>
    <xdr:to>
      <xdr:col>5</xdr:col>
      <xdr:colOff>209595</xdr:colOff>
      <xdr:row>25</xdr:row>
      <xdr:rowOff>117713</xdr:rowOff>
    </xdr:to>
    <mc:AlternateContent xmlns:mc="http://schemas.openxmlformats.org/markup-compatibility/2006">
      <mc:Choice xmlns:a14="http://schemas.microsoft.com/office/drawing/2010/main" Requires="a14">
        <xdr:graphicFrame macro="">
          <xdr:nvGraphicFramePr>
            <xdr:cNvPr id="61" name="Outlet Location Type 1">
              <a:extLst>
                <a:ext uri="{FF2B5EF4-FFF2-40B4-BE49-F238E27FC236}">
                  <a16:creationId xmlns:a16="http://schemas.microsoft.com/office/drawing/2014/main" id="{F58FBACD-ABCB-4E18-B3AF-1A9B47623DDF}"/>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866400" y="3622913"/>
              <a:ext cx="1717766" cy="1393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505685</xdr:colOff>
      <xdr:row>26</xdr:row>
      <xdr:rowOff>150372</xdr:rowOff>
    </xdr:from>
    <xdr:to>
      <xdr:col>5</xdr:col>
      <xdr:colOff>172583</xdr:colOff>
      <xdr:row>34</xdr:row>
      <xdr:rowOff>156903</xdr:rowOff>
    </xdr:to>
    <mc:AlternateContent xmlns:mc="http://schemas.openxmlformats.org/markup-compatibility/2006">
      <mc:Choice xmlns:a14="http://schemas.microsoft.com/office/drawing/2010/main" Requires="a14">
        <xdr:graphicFrame macro="">
          <xdr:nvGraphicFramePr>
            <xdr:cNvPr id="62" name="Item Type 1">
              <a:extLst>
                <a:ext uri="{FF2B5EF4-FFF2-40B4-BE49-F238E27FC236}">
                  <a16:creationId xmlns:a16="http://schemas.microsoft.com/office/drawing/2014/main" id="{02947EBC-5411-4110-84D0-03CEA808ABD9}"/>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855514" y="5244886"/>
              <a:ext cx="1691640" cy="1574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n" refreshedDate="46111.602897800927" createdVersion="8" refreshedVersion="8" minRefreshableVersion="3" recordCount="8523" xr:uid="{85E828C6-3493-4839-8761-661A6DC6ADCF}">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331702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E7ED40-9A85-4008-A060-F036921A3D3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Q27:R32" firstHeaderRow="1" firstDataRow="1" firstDataCol="1"/>
  <pivotFields count="12">
    <pivotField showAll="0">
      <items count="3">
        <item x="1"/>
        <item x="0"/>
        <item t="default"/>
      </items>
    </pivotField>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7"/>
  </rowFields>
  <rowItems count="5">
    <i>
      <x/>
    </i>
    <i>
      <x v="1"/>
    </i>
    <i>
      <x v="2"/>
    </i>
    <i>
      <x v="3"/>
    </i>
    <i t="grand">
      <x/>
    </i>
  </rowItems>
  <colItems count="1">
    <i/>
  </colItems>
  <dataFields count="1">
    <dataField name="Count of Item Identifier" fld="1" subtotal="count" baseField="0" baseItem="0" numFmtId="1"/>
  </dataFields>
  <formats count="14">
    <format dxfId="1723">
      <pivotArea type="all" dataOnly="0" outline="0" fieldPosition="0"/>
    </format>
    <format dxfId="1724">
      <pivotArea outline="0" collapsedLevelsAreSubtotals="1" fieldPosition="0"/>
    </format>
    <format dxfId="1725">
      <pivotArea type="all" dataOnly="0" outline="0" fieldPosition="0"/>
    </format>
    <format dxfId="1726">
      <pivotArea outline="0" collapsedLevelsAreSubtotals="1" fieldPosition="0"/>
    </format>
    <format dxfId="1727">
      <pivotArea field="0" type="button" dataOnly="0" labelOnly="1" outline="0"/>
    </format>
    <format dxfId="1728">
      <pivotArea dataOnly="0" labelOnly="1" grandRow="1" outline="0" fieldPosition="0"/>
    </format>
    <format dxfId="1729">
      <pivotArea dataOnly="0" labelOnly="1" outline="0" axis="axisValues" fieldPosition="0"/>
    </format>
    <format dxfId="1722">
      <pivotArea outline="0" collapsedLevelsAreSubtotals="1" fieldPosition="0"/>
    </format>
    <format dxfId="1709">
      <pivotArea type="all" dataOnly="0" outline="0" fieldPosition="0"/>
    </format>
    <format dxfId="1708">
      <pivotArea outline="0" collapsedLevelsAreSubtotals="1" fieldPosition="0"/>
    </format>
    <format dxfId="1707">
      <pivotArea field="7" type="button" dataOnly="0" labelOnly="1" outline="0" axis="axisRow" fieldPosition="0"/>
    </format>
    <format dxfId="1706">
      <pivotArea dataOnly="0" labelOnly="1" fieldPosition="0">
        <references count="1">
          <reference field="7" count="0"/>
        </references>
      </pivotArea>
    </format>
    <format dxfId="1705">
      <pivotArea dataOnly="0" labelOnly="1" grandRow="1" outline="0" fieldPosition="0"/>
    </format>
    <format dxfId="1704">
      <pivotArea dataOnly="0" labelOnly="1" outline="0" axis="axisValues" fieldPosition="0"/>
    </format>
  </formats>
  <chartFormats count="3">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367C92-437B-45E6-A5A9-E7778DEA1CF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O37:P4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Avg Sales" fld="10" subtotal="average" baseField="7" baseItem="0" numFmtId="169"/>
  </dataFields>
  <formats count="12">
    <format dxfId="1731">
      <pivotArea type="all" dataOnly="0" outline="0" fieldPosition="0"/>
    </format>
    <format dxfId="1732">
      <pivotArea outline="0" collapsedLevelsAreSubtotals="1" fieldPosition="0"/>
    </format>
    <format dxfId="1733">
      <pivotArea type="all" dataOnly="0" outline="0" fieldPosition="0"/>
    </format>
    <format dxfId="1734">
      <pivotArea outline="0" collapsedLevelsAreSubtotals="1" fieldPosition="0"/>
    </format>
    <format dxfId="1735">
      <pivotArea field="0" type="button" dataOnly="0" labelOnly="1" outline="0"/>
    </format>
    <format dxfId="1730">
      <pivotArea outline="0" collapsedLevelsAreSubtotals="1" fieldPosition="0"/>
    </format>
    <format dxfId="1721">
      <pivotArea type="all" dataOnly="0" outline="0" fieldPosition="0"/>
    </format>
    <format dxfId="1720">
      <pivotArea outline="0" collapsedLevelsAreSubtotals="1" fieldPosition="0"/>
    </format>
    <format dxfId="1719">
      <pivotArea field="7" type="button" dataOnly="0" labelOnly="1" outline="0" axis="axisRow" fieldPosition="0"/>
    </format>
    <format dxfId="1718">
      <pivotArea dataOnly="0" labelOnly="1" fieldPosition="0">
        <references count="1">
          <reference field="7" count="0"/>
        </references>
      </pivotArea>
    </format>
    <format dxfId="1717">
      <pivotArea dataOnly="0" labelOnly="1" grandRow="1" outline="0" fieldPosition="0"/>
    </format>
    <format dxfId="171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B2856-A4E1-415B-837D-8116A3758F6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I37:J4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Total Sales" fld="10" baseField="0" baseItem="1" numFmtId="167"/>
  </dataFields>
  <formats count="12">
    <format dxfId="1737">
      <pivotArea type="all" dataOnly="0" outline="0" fieldPosition="0"/>
    </format>
    <format dxfId="1738">
      <pivotArea outline="0" collapsedLevelsAreSubtotals="1" fieldPosition="0"/>
    </format>
    <format dxfId="1739">
      <pivotArea type="all" dataOnly="0" outline="0" fieldPosition="0"/>
    </format>
    <format dxfId="1740">
      <pivotArea outline="0" collapsedLevelsAreSubtotals="1" fieldPosition="0"/>
    </format>
    <format dxfId="1741">
      <pivotArea field="0" type="button" dataOnly="0" labelOnly="1" outline="0"/>
    </format>
    <format dxfId="1736">
      <pivotArea outline="0" collapsedLevelsAreSubtotals="1" fieldPosition="0"/>
    </format>
    <format dxfId="1715">
      <pivotArea type="all" dataOnly="0" outline="0" fieldPosition="0"/>
    </format>
    <format dxfId="1714">
      <pivotArea outline="0" collapsedLevelsAreSubtotals="1" fieldPosition="0"/>
    </format>
    <format dxfId="1713">
      <pivotArea field="7" type="button" dataOnly="0" labelOnly="1" outline="0" axis="axisRow" fieldPosition="0"/>
    </format>
    <format dxfId="1712">
      <pivotArea dataOnly="0" labelOnly="1" fieldPosition="0">
        <references count="1">
          <reference field="7" count="0"/>
        </references>
      </pivotArea>
    </format>
    <format dxfId="1711">
      <pivotArea dataOnly="0" labelOnly="1" grandRow="1" outline="0" fieldPosition="0"/>
    </format>
    <format dxfId="171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0B4105-9244-4A80-9059-8FF7682294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21:J3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Total Sales" fld="10" baseField="0" baseItem="1" numFmtId="167"/>
  </dataFields>
  <formats count="12">
    <format dxfId="1770">
      <pivotArea type="all" dataOnly="0" outline="0" fieldPosition="0"/>
    </format>
    <format dxfId="1769">
      <pivotArea outline="0" collapsedLevelsAreSubtotals="1" fieldPosition="0"/>
    </format>
    <format dxfId="1768">
      <pivotArea type="all" dataOnly="0" outline="0" fieldPosition="0"/>
    </format>
    <format dxfId="1767">
      <pivotArea outline="0" collapsedLevelsAreSubtotals="1" fieldPosition="0"/>
    </format>
    <format dxfId="1766">
      <pivotArea field="0" type="button" dataOnly="0" labelOnly="1" outline="0"/>
    </format>
    <format dxfId="1765">
      <pivotArea outline="0" collapsedLevelsAreSubtotals="1" fieldPosition="0"/>
    </format>
    <format dxfId="1764">
      <pivotArea type="all" dataOnly="0" outline="0" fieldPosition="0"/>
    </format>
    <format dxfId="1763">
      <pivotArea outline="0" collapsedLevelsAreSubtotals="1" fieldPosition="0"/>
    </format>
    <format dxfId="1762">
      <pivotArea field="3" type="button" dataOnly="0" labelOnly="1" outline="0" axis="axisRow" fieldPosition="0"/>
    </format>
    <format dxfId="1761">
      <pivotArea dataOnly="0" labelOnly="1" fieldPosition="0">
        <references count="1">
          <reference field="3" count="0"/>
        </references>
      </pivotArea>
    </format>
    <format dxfId="1760">
      <pivotArea dataOnly="0" labelOnly="1" grandRow="1" outline="0" fieldPosition="0"/>
    </format>
    <format dxfId="175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0"/>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13" format="5">
      <pivotArea type="data" outline="0" fieldPosition="0">
        <references count="2">
          <reference field="4294967294" count="1" selected="0">
            <x v="0"/>
          </reference>
          <reference field="3" count="1" selected="0">
            <x v="2"/>
          </reference>
        </references>
      </pivotArea>
    </chartFormat>
    <chartFormat chart="13" format="6">
      <pivotArea type="data" outline="0" fieldPosition="0">
        <references count="2">
          <reference field="4294967294" count="1" selected="0">
            <x v="0"/>
          </reference>
          <reference field="3" count="1" selected="0">
            <x v="3"/>
          </reference>
        </references>
      </pivotArea>
    </chartFormat>
    <chartFormat chart="13" format="7">
      <pivotArea type="data" outline="0" fieldPosition="0">
        <references count="2">
          <reference field="4294967294" count="1" selected="0">
            <x v="0"/>
          </reference>
          <reference field="3" count="1" selected="0">
            <x v="4"/>
          </reference>
        </references>
      </pivotArea>
    </chartFormat>
    <chartFormat chart="13" format="8">
      <pivotArea type="data" outline="0" fieldPosition="0">
        <references count="2">
          <reference field="4294967294" count="1" selected="0">
            <x v="0"/>
          </reference>
          <reference field="3" count="1" selected="0">
            <x v="5"/>
          </reference>
        </references>
      </pivotArea>
    </chartFormat>
    <chartFormat chart="13" format="9">
      <pivotArea type="data" outline="0" fieldPosition="0">
        <references count="2">
          <reference field="4294967294" count="1" selected="0">
            <x v="0"/>
          </reference>
          <reference field="3" count="1" selected="0">
            <x v="6"/>
          </reference>
        </references>
      </pivotArea>
    </chartFormat>
    <chartFormat chart="13" format="10">
      <pivotArea type="data" outline="0" fieldPosition="0">
        <references count="2">
          <reference field="4294967294" count="1" selected="0">
            <x v="0"/>
          </reference>
          <reference field="3" count="1" selected="0">
            <x v="7"/>
          </reference>
        </references>
      </pivotArea>
    </chartFormat>
    <chartFormat chart="13"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89A5EC-D984-41A9-93F8-0AC2E00ADC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3">
    <i>
      <x/>
    </i>
    <i>
      <x v="1"/>
    </i>
    <i t="grand">
      <x/>
    </i>
  </rowItems>
  <colItems count="1">
    <i/>
  </colItems>
  <dataFields count="1">
    <dataField name="Total Sales" fld="10" baseField="0" baseItem="1"/>
  </dataFields>
  <formats count="10">
    <format dxfId="1780">
      <pivotArea type="all" dataOnly="0" outline="0" fieldPosition="0"/>
    </format>
    <format dxfId="1779">
      <pivotArea outline="0" collapsedLevelsAreSubtotals="1" fieldPosition="0"/>
    </format>
    <format dxfId="1778">
      <pivotArea type="all" dataOnly="0" outline="0" fieldPosition="0"/>
    </format>
    <format dxfId="1777">
      <pivotArea outline="0" collapsedLevelsAreSubtotals="1" fieldPosition="0"/>
    </format>
    <format dxfId="1776">
      <pivotArea field="0" type="button" dataOnly="0" labelOnly="1" outline="0" axis="axisRow" fieldPosition="0"/>
    </format>
    <format dxfId="1775">
      <pivotArea dataOnly="0" labelOnly="1" fieldPosition="0">
        <references count="1">
          <reference field="0" count="0"/>
        </references>
      </pivotArea>
    </format>
    <format dxfId="1774">
      <pivotArea dataOnly="0" labelOnly="1" grandRow="1" outline="0" fieldPosition="0"/>
    </format>
    <format dxfId="1773">
      <pivotArea dataOnly="0" labelOnly="1" outline="0" axis="axisValues" fieldPosition="0"/>
    </format>
    <format dxfId="1772">
      <pivotArea collapsedLevelsAreSubtotals="1" fieldPosition="0">
        <references count="1">
          <reference field="0" count="1">
            <x v="1"/>
          </reference>
        </references>
      </pivotArea>
    </format>
    <format dxfId="1771">
      <pivotArea collapsedLevelsAreSubtotals="1" fieldPosition="0">
        <references count="1">
          <reference field="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53FD93-F361-4886-B9B3-79F8F6FBA8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dataField="1"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1"/>
    <dataField name="Average Sales" fld="10" subtotal="average" baseField="0" baseItem="1"/>
    <dataField name="Items Sold" fld="1" subtotal="count" baseField="0" baseItem="1"/>
    <dataField name="Average Rating" fld="11" subtotal="average" baseField="0" baseItem="1"/>
  </dataFields>
  <formats count="3">
    <format dxfId="1783">
      <pivotArea type="all" dataOnly="0" outline="0" fieldPosition="0"/>
    </format>
    <format dxfId="1782">
      <pivotArea outline="0" collapsedLevelsAreSubtotals="1" fieldPosition="0"/>
    </format>
    <format dxfId="1781">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1F805A-C127-459F-A867-5DDA31C75996}"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F11:H15"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Total Sales" fld="10" baseField="0" baseItem="1" numFmtId="168"/>
  </dataFields>
  <formats count="15">
    <format dxfId="1798">
      <pivotArea type="all" dataOnly="0" outline="0" fieldPosition="0"/>
    </format>
    <format dxfId="1797">
      <pivotArea type="all" dataOnly="0" outline="0" fieldPosition="0"/>
    </format>
    <format dxfId="1796">
      <pivotArea dataOnly="0" labelOnly="1" grandRow="1" outline="0" fieldPosition="0"/>
    </format>
    <format dxfId="1795">
      <pivotArea dataOnly="0" labelOnly="1" outline="0" axis="axisValues" fieldPosition="0"/>
    </format>
    <format dxfId="1794">
      <pivotArea collapsedLevelsAreSubtotals="1" fieldPosition="0">
        <references count="1">
          <reference field="0" count="1">
            <x v="0"/>
          </reference>
        </references>
      </pivotArea>
    </format>
    <format dxfId="1793">
      <pivotArea collapsedLevelsAreSubtotals="1" fieldPosition="0">
        <references count="1">
          <reference field="0" count="1">
            <x v="1"/>
          </reference>
        </references>
      </pivotArea>
    </format>
    <format dxfId="1792">
      <pivotArea type="all" dataOnly="0" outline="0" fieldPosition="0"/>
    </format>
    <format dxfId="1791">
      <pivotArea outline="0" collapsedLevelsAreSubtotals="1" fieldPosition="0"/>
    </format>
    <format dxfId="1790">
      <pivotArea type="origin" dataOnly="0" labelOnly="1" outline="0" fieldPosition="0"/>
    </format>
    <format dxfId="1789">
      <pivotArea field="0" type="button" dataOnly="0" labelOnly="1" outline="0" axis="axisCol" fieldPosition="0"/>
    </format>
    <format dxfId="1788">
      <pivotArea type="topRight" dataOnly="0" labelOnly="1" outline="0" fieldPosition="0"/>
    </format>
    <format dxfId="1787">
      <pivotArea field="5" type="button" dataOnly="0" labelOnly="1" outline="0" axis="axisRow" fieldPosition="0"/>
    </format>
    <format dxfId="1786">
      <pivotArea dataOnly="0" labelOnly="1" fieldPosition="0">
        <references count="1">
          <reference field="5" count="0"/>
        </references>
      </pivotArea>
    </format>
    <format dxfId="1785">
      <pivotArea dataOnly="0" labelOnly="1" fieldPosition="0">
        <references count="1">
          <reference field="0" count="0"/>
        </references>
      </pivotArea>
    </format>
    <format dxfId="1784">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8" format="2">
      <pivotArea type="data" outline="0" fieldPosition="0">
        <references count="3">
          <reference field="4294967294" count="1" selected="0">
            <x v="0"/>
          </reference>
          <reference field="0" count="1" selected="0">
            <x v="1"/>
          </reference>
          <reference field="5" count="1" selected="0">
            <x v="2"/>
          </reference>
        </references>
      </pivotArea>
    </chartFormat>
    <chartFormat chart="8" format="3">
      <pivotArea type="data" outline="0" fieldPosition="0">
        <references count="3">
          <reference field="4294967294" count="1" selected="0">
            <x v="0"/>
          </reference>
          <reference field="0" count="1" selected="0">
            <x v="1"/>
          </reference>
          <reference field="5" count="1" selected="0">
            <x v="0"/>
          </reference>
        </references>
      </pivotArea>
    </chartFormat>
    <chartFormat chart="8" format="4">
      <pivotArea type="data" outline="0" fieldPosition="0">
        <references count="3">
          <reference field="4294967294" count="1" selected="0">
            <x v="0"/>
          </reference>
          <reference field="0" count="1" selected="0">
            <x v="0"/>
          </reference>
          <reference field="5" count="1" selected="0">
            <x v="2"/>
          </reference>
        </references>
      </pivotArea>
    </chartFormat>
    <chartFormat chart="8" format="5">
      <pivotArea type="data" outline="0" fieldPosition="0">
        <references count="3">
          <reference field="4294967294" count="1" selected="0">
            <x v="0"/>
          </reference>
          <reference field="0" count="1" selected="0">
            <x v="0"/>
          </reference>
          <reference field="5" count="1" selected="0">
            <x v="1"/>
          </reference>
        </references>
      </pivotArea>
    </chartFormat>
    <chartFormat chart="8" format="6">
      <pivotArea type="data" outline="0" fieldPosition="0">
        <references count="3">
          <reference field="4294967294" count="1" selected="0">
            <x v="0"/>
          </reference>
          <reference field="0" count="1" selected="0">
            <x v="0"/>
          </reference>
          <reference field="5" count="1" selected="0">
            <x v="0"/>
          </reference>
        </references>
      </pivotArea>
    </chartFormat>
    <chartFormat chart="8" format="7">
      <pivotArea type="data" outline="0" fieldPosition="0">
        <references count="3">
          <reference field="4294967294" count="1" selected="0">
            <x v="0"/>
          </reference>
          <reference field="0" count="1" selected="0">
            <x v="1"/>
          </reference>
          <reference field="5" count="1" selected="0">
            <x v="1"/>
          </reference>
        </references>
      </pivotArea>
    </chartFormat>
    <chartFormat chart="15" format="16" series="1">
      <pivotArea type="data" outline="0" fieldPosition="0">
        <references count="2">
          <reference field="4294967294" count="1" selected="0">
            <x v="0"/>
          </reference>
          <reference field="0" count="1" selected="0">
            <x v="0"/>
          </reference>
        </references>
      </pivotArea>
    </chartFormat>
    <chartFormat chart="15" format="17">
      <pivotArea type="data" outline="0" fieldPosition="0">
        <references count="3">
          <reference field="4294967294" count="1" selected="0">
            <x v="0"/>
          </reference>
          <reference field="0" count="1" selected="0">
            <x v="0"/>
          </reference>
          <reference field="5" count="1" selected="0">
            <x v="0"/>
          </reference>
        </references>
      </pivotArea>
    </chartFormat>
    <chartFormat chart="15" format="18">
      <pivotArea type="data" outline="0" fieldPosition="0">
        <references count="3">
          <reference field="4294967294" count="1" selected="0">
            <x v="0"/>
          </reference>
          <reference field="0" count="1" selected="0">
            <x v="0"/>
          </reference>
          <reference field="5" count="1" selected="0">
            <x v="1"/>
          </reference>
        </references>
      </pivotArea>
    </chartFormat>
    <chartFormat chart="15" format="19">
      <pivotArea type="data" outline="0" fieldPosition="0">
        <references count="3">
          <reference field="4294967294" count="1" selected="0">
            <x v="0"/>
          </reference>
          <reference field="0" count="1" selected="0">
            <x v="0"/>
          </reference>
          <reference field="5" count="1" selected="0">
            <x v="2"/>
          </reference>
        </references>
      </pivotArea>
    </chartFormat>
    <chartFormat chart="15" format="20" series="1">
      <pivotArea type="data" outline="0" fieldPosition="0">
        <references count="2">
          <reference field="4294967294" count="1" selected="0">
            <x v="0"/>
          </reference>
          <reference field="0" count="1" selected="0">
            <x v="1"/>
          </reference>
        </references>
      </pivotArea>
    </chartFormat>
    <chartFormat chart="15" format="21">
      <pivotArea type="data" outline="0" fieldPosition="0">
        <references count="3">
          <reference field="4294967294" count="1" selected="0">
            <x v="0"/>
          </reference>
          <reference field="0" count="1" selected="0">
            <x v="1"/>
          </reference>
          <reference field="5" count="1" selected="0">
            <x v="0"/>
          </reference>
        </references>
      </pivotArea>
    </chartFormat>
    <chartFormat chart="15" format="22">
      <pivotArea type="data" outline="0" fieldPosition="0">
        <references count="3">
          <reference field="4294967294" count="1" selected="0">
            <x v="0"/>
          </reference>
          <reference field="0" count="1" selected="0">
            <x v="1"/>
          </reference>
          <reference field="5" count="1" selected="0">
            <x v="1"/>
          </reference>
        </references>
      </pivotArea>
    </chartFormat>
    <chartFormat chart="15" format="23">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078417-BD84-4E3E-9B77-8E0EC5C72DA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R11:S1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4">
    <i>
      <x/>
    </i>
    <i>
      <x v="1"/>
    </i>
    <i>
      <x v="2"/>
    </i>
    <i t="grand">
      <x/>
    </i>
  </rowItems>
  <colItems count="1">
    <i/>
  </colItems>
  <dataFields count="1">
    <dataField name="Total Sales" fld="10" baseField="0" baseItem="1" numFmtId="167"/>
  </dataFields>
  <formats count="17">
    <format dxfId="1748">
      <pivotArea type="all" dataOnly="0" outline="0" fieldPosition="0"/>
    </format>
    <format dxfId="1749">
      <pivotArea outline="0" collapsedLevelsAreSubtotals="1" fieldPosition="0"/>
    </format>
    <format dxfId="1750">
      <pivotArea type="all" dataOnly="0" outline="0" fieldPosition="0"/>
    </format>
    <format dxfId="1751">
      <pivotArea outline="0" collapsedLevelsAreSubtotals="1" fieldPosition="0"/>
    </format>
    <format dxfId="1752">
      <pivotArea field="0" type="button" dataOnly="0" labelOnly="1" outline="0"/>
    </format>
    <format dxfId="1753">
      <pivotArea outline="0" collapsedLevelsAreSubtotals="1" fieldPosition="0"/>
    </format>
    <format dxfId="1754">
      <pivotArea type="all" dataOnly="0" outline="0" fieldPosition="0"/>
    </format>
    <format dxfId="1755">
      <pivotArea outline="0" collapsedLevelsAreSubtotals="1" fieldPosition="0"/>
    </format>
    <format dxfId="1756">
      <pivotArea field="6" type="button" dataOnly="0" labelOnly="1" outline="0"/>
    </format>
    <format dxfId="1757">
      <pivotArea dataOnly="0" labelOnly="1" grandRow="1" outline="0" fieldPosition="0"/>
    </format>
    <format dxfId="1758">
      <pivotArea dataOnly="0" labelOnly="1" outline="0" axis="axisValues" fieldPosition="0"/>
    </format>
    <format dxfId="1747">
      <pivotArea type="all" dataOnly="0" outline="0" fieldPosition="0"/>
    </format>
    <format dxfId="1746">
      <pivotArea outline="0" collapsedLevelsAreSubtotals="1" fieldPosition="0"/>
    </format>
    <format dxfId="1745">
      <pivotArea field="5" type="button" dataOnly="0" labelOnly="1" outline="0" axis="axisRow" fieldPosition="0"/>
    </format>
    <format dxfId="1744">
      <pivotArea dataOnly="0" labelOnly="1" fieldPosition="0">
        <references count="1">
          <reference field="5" count="0"/>
        </references>
      </pivotArea>
    </format>
    <format dxfId="1743">
      <pivotArea dataOnly="0" labelOnly="1" grandRow="1" outline="0" fieldPosition="0"/>
    </format>
    <format dxfId="174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1A44EA-BA25-4D80-B052-57D196A12D0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11:M15"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Total Sales" fld="10" baseField="0" baseItem="1" numFmtId="167"/>
  </dataFields>
  <formats count="12">
    <format dxfId="1810">
      <pivotArea type="all" dataOnly="0" outline="0" fieldPosition="0"/>
    </format>
    <format dxfId="1809">
      <pivotArea outline="0" collapsedLevelsAreSubtotals="1" fieldPosition="0"/>
    </format>
    <format dxfId="1808">
      <pivotArea type="all" dataOnly="0" outline="0" fieldPosition="0"/>
    </format>
    <format dxfId="1807">
      <pivotArea outline="0" collapsedLevelsAreSubtotals="1" fieldPosition="0"/>
    </format>
    <format dxfId="1806">
      <pivotArea field="0" type="button" dataOnly="0" labelOnly="1" outline="0"/>
    </format>
    <format dxfId="1805">
      <pivotArea outline="0" collapsedLevelsAreSubtotals="1" fieldPosition="0"/>
    </format>
    <format dxfId="1804">
      <pivotArea type="all" dataOnly="0" outline="0" fieldPosition="0"/>
    </format>
    <format dxfId="1803">
      <pivotArea outline="0" collapsedLevelsAreSubtotals="1" fieldPosition="0"/>
    </format>
    <format dxfId="1802">
      <pivotArea field="6" type="button" dataOnly="0" labelOnly="1" outline="0" axis="axisRow" fieldPosition="0"/>
    </format>
    <format dxfId="1801">
      <pivotArea dataOnly="0" labelOnly="1" fieldPosition="0">
        <references count="1">
          <reference field="6" count="0"/>
        </references>
      </pivotArea>
    </format>
    <format dxfId="1800">
      <pivotArea dataOnly="0" labelOnly="1" grandRow="1" outline="0" fieldPosition="0"/>
    </format>
    <format dxfId="1799">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6" count="1" selected="0">
            <x v="0"/>
          </reference>
        </references>
      </pivotArea>
    </chartFormat>
    <chartFormat chart="12" format="7">
      <pivotArea type="data" outline="0" fieldPosition="0">
        <references count="2">
          <reference field="4294967294" count="1" selected="0">
            <x v="0"/>
          </reference>
          <reference field="6" count="1" selected="0">
            <x v="1"/>
          </reference>
        </references>
      </pivotArea>
    </chartFormat>
    <chartFormat chart="12" format="8">
      <pivotArea type="data" outline="0" fieldPosition="0">
        <references count="2">
          <reference field="4294967294" count="1" selected="0">
            <x v="0"/>
          </reference>
          <reference field="6" count="1" selected="0">
            <x v="2"/>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0963D5-84EA-4F67-B8AD-42913BBE86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B38" firstHeaderRow="1" firstDataRow="1" firstDataCol="1"/>
  <pivotFields count="12">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Total Sales" fld="10" baseField="0" baseItem="1"/>
  </dataFields>
  <formats count="17">
    <format dxfId="1827">
      <pivotArea type="all" dataOnly="0" outline="0" fieldPosition="0"/>
    </format>
    <format dxfId="1826">
      <pivotArea type="all" dataOnly="0" outline="0" fieldPosition="0"/>
    </format>
    <format dxfId="1825">
      <pivotArea field="0" type="button" dataOnly="0" labelOnly="1" outline="0"/>
    </format>
    <format dxfId="1824">
      <pivotArea collapsedLevelsAreSubtotals="1" fieldPosition="0">
        <references count="1">
          <reference field="2" count="13">
            <x v="0"/>
            <x v="1"/>
            <x v="2"/>
            <x v="3"/>
            <x v="4"/>
            <x v="5"/>
            <x v="6"/>
            <x v="7"/>
            <x v="8"/>
            <x v="9"/>
            <x v="10"/>
            <x v="11"/>
            <x v="12"/>
          </reference>
        </references>
      </pivotArea>
    </format>
    <format dxfId="1823">
      <pivotArea collapsedLevelsAreSubtotals="1" fieldPosition="0">
        <references count="1">
          <reference field="2" count="3">
            <x v="13"/>
            <x v="14"/>
            <x v="15"/>
          </reference>
        </references>
      </pivotArea>
    </format>
    <format dxfId="1822">
      <pivotArea grandRow="1" outline="0" collapsedLevelsAreSubtotals="1" fieldPosition="0"/>
    </format>
    <format dxfId="1821">
      <pivotArea type="all" dataOnly="0" outline="0" fieldPosition="0"/>
    </format>
    <format dxfId="1820">
      <pivotArea outline="0" collapsedLevelsAreSubtotals="1" fieldPosition="0"/>
    </format>
    <format dxfId="1819">
      <pivotArea field="2" type="button" dataOnly="0" labelOnly="1" outline="0" axis="axisRow" fieldPosition="0"/>
    </format>
    <format dxfId="1818">
      <pivotArea outline="0" collapsedLevelsAreSubtotals="1" fieldPosition="0"/>
    </format>
    <format dxfId="1817">
      <pivotArea outline="0" collapsedLevelsAreSubtotals="1" fieldPosition="0"/>
    </format>
    <format dxfId="1816">
      <pivotArea dataOnly="0" labelOnly="1" fieldPosition="0">
        <references count="1">
          <reference field="2" count="0"/>
        </references>
      </pivotArea>
    </format>
    <format dxfId="1815">
      <pivotArea dataOnly="0" labelOnly="1" outline="0" axis="axisValues" fieldPosition="0"/>
    </format>
    <format dxfId="1814">
      <pivotArea dataOnly="0" labelOnly="1" grandRow="1" outline="0" fieldPosition="0"/>
    </format>
    <format dxfId="1813">
      <pivotArea dataOnly="0" labelOnly="1" grandRow="1" outline="0" fieldPosition="0"/>
    </format>
    <format dxfId="1812">
      <pivotArea dataOnly="0" labelOnly="1" outline="0" axis="axisValues" fieldPosition="0"/>
    </format>
    <format dxfId="181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300D44C-3FDE-449F-9CDD-B9964E44AA17}" sourceName="Outlet Siz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23317024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E70E5EB5-C603-4636-A2AA-B623FBE41B68}"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23317024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E7479A7D-3702-4D84-98D7-DC23252D4104}"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233170240">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113397-B9CA-4AFD-BCAC-2BB83ED043D2}" cache="Slicer_Outlet_Size" caption="Outlet Size" rowHeight="260350"/>
  <slicer name="Outlet Location Type" xr10:uid="{0FE2DE52-0A8E-435B-90D6-46089D0AFB85}" cache="Slicer_Outlet_Location_Type" caption="Outlet Location Type" rowHeight="260350"/>
  <slicer name="Item Type" xr10:uid="{D40E4242-845B-41D1-B272-18CC395F9604}"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D953BFC-F093-40DF-B6CE-6898410AA571}" cache="Slicer_Outlet_Size" caption="Outlet Size" style="Blinkit Analysis" rowHeight="260350"/>
  <slicer name="Outlet Location Type 1" xr10:uid="{60BC764F-DA81-40DE-9222-3DE2F40CFD3D}" cache="Slicer_Outlet_Location_Type" caption="Outlet Location" style="Blinkit Analysis" rowHeight="260350"/>
  <slicer name="Item Type 1" xr10:uid="{4E861077-C17C-4A73-9BE3-5E52443D5969}"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94" zoomScaleNormal="94" workbookViewId="0">
      <selection activeCell="F19" sqref="F19"/>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x14ac:dyDescent="0.3">
      <c r="A41" t="s">
        <v>10</v>
      </c>
      <c r="B41" t="s">
        <v>84</v>
      </c>
      <c r="C41" t="s">
        <v>54</v>
      </c>
      <c r="D41">
        <v>2016</v>
      </c>
      <c r="E41" t="s">
        <v>25</v>
      </c>
      <c r="F41" t="s">
        <v>14</v>
      </c>
      <c r="G41" t="s">
        <v>26</v>
      </c>
      <c r="H41" t="s">
        <v>16</v>
      </c>
      <c r="I41">
        <v>8.5274987999999996E-2</v>
      </c>
      <c r="J41">
        <v>13.85</v>
      </c>
      <c r="K41">
        <v>119.61239999999999</v>
      </c>
      <c r="L41">
        <v>5</v>
      </c>
    </row>
    <row r="42" spans="1:12" x14ac:dyDescent="0.3">
      <c r="A42" t="s">
        <v>10</v>
      </c>
      <c r="B42" t="s">
        <v>85</v>
      </c>
      <c r="C42" t="s">
        <v>67</v>
      </c>
      <c r="D42">
        <v>2014</v>
      </c>
      <c r="E42" t="s">
        <v>29</v>
      </c>
      <c r="F42" t="s">
        <v>21</v>
      </c>
      <c r="G42" t="s">
        <v>30</v>
      </c>
      <c r="H42" t="s">
        <v>16</v>
      </c>
      <c r="I42">
        <v>0.108148913</v>
      </c>
      <c r="J42">
        <v>6.75</v>
      </c>
      <c r="K42">
        <v>95.675200000000004</v>
      </c>
      <c r="L42">
        <v>5</v>
      </c>
    </row>
    <row r="43" spans="1:12"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x14ac:dyDescent="0.3">
      <c r="A76" t="s">
        <v>10</v>
      </c>
      <c r="B76" t="s">
        <v>120</v>
      </c>
      <c r="C76" t="s">
        <v>95</v>
      </c>
      <c r="D76">
        <v>2012</v>
      </c>
      <c r="E76" t="s">
        <v>13</v>
      </c>
      <c r="F76" t="s">
        <v>14</v>
      </c>
      <c r="G76" t="s">
        <v>15</v>
      </c>
      <c r="H76" t="s">
        <v>16</v>
      </c>
      <c r="I76">
        <v>7.5868843000000005E-2</v>
      </c>
      <c r="J76">
        <v>15.5</v>
      </c>
      <c r="K76">
        <v>261.7568</v>
      </c>
      <c r="L76">
        <v>5</v>
      </c>
    </row>
    <row r="77" spans="1:12" x14ac:dyDescent="0.3">
      <c r="A77" t="s">
        <v>10</v>
      </c>
      <c r="B77" t="s">
        <v>121</v>
      </c>
      <c r="C77" t="s">
        <v>95</v>
      </c>
      <c r="D77">
        <v>2012</v>
      </c>
      <c r="E77" t="s">
        <v>13</v>
      </c>
      <c r="F77" t="s">
        <v>14</v>
      </c>
      <c r="G77" t="s">
        <v>15</v>
      </c>
      <c r="H77" t="s">
        <v>16</v>
      </c>
      <c r="I77">
        <v>7.9419754999999995E-2</v>
      </c>
      <c r="J77">
        <v>20.7</v>
      </c>
      <c r="K77">
        <v>99.804199999999994</v>
      </c>
      <c r="L77">
        <v>5</v>
      </c>
    </row>
    <row r="78" spans="1:12" x14ac:dyDescent="0.3">
      <c r="A78" t="s">
        <v>10</v>
      </c>
      <c r="B78" t="s">
        <v>122</v>
      </c>
      <c r="C78" t="s">
        <v>57</v>
      </c>
      <c r="D78">
        <v>2012</v>
      </c>
      <c r="E78" t="s">
        <v>13</v>
      </c>
      <c r="F78" t="s">
        <v>14</v>
      </c>
      <c r="G78" t="s">
        <v>15</v>
      </c>
      <c r="H78" t="s">
        <v>16</v>
      </c>
      <c r="I78">
        <v>3.0311951E-2</v>
      </c>
      <c r="J78">
        <v>8</v>
      </c>
      <c r="K78">
        <v>247.4092</v>
      </c>
      <c r="L78">
        <v>5</v>
      </c>
    </row>
    <row r="79" spans="1:12" x14ac:dyDescent="0.3">
      <c r="A79" t="s">
        <v>10</v>
      </c>
      <c r="B79" t="s">
        <v>123</v>
      </c>
      <c r="C79" t="s">
        <v>28</v>
      </c>
      <c r="D79">
        <v>2012</v>
      </c>
      <c r="E79" t="s">
        <v>13</v>
      </c>
      <c r="F79" t="s">
        <v>14</v>
      </c>
      <c r="G79" t="s">
        <v>15</v>
      </c>
      <c r="H79" t="s">
        <v>16</v>
      </c>
      <c r="I79">
        <v>3.0742083E-2</v>
      </c>
      <c r="J79">
        <v>19.5</v>
      </c>
      <c r="K79">
        <v>85.554000000000002</v>
      </c>
      <c r="L79">
        <v>5</v>
      </c>
    </row>
    <row r="80" spans="1:12" x14ac:dyDescent="0.3">
      <c r="A80" t="s">
        <v>10</v>
      </c>
      <c r="B80" t="s">
        <v>124</v>
      </c>
      <c r="C80" t="s">
        <v>67</v>
      </c>
      <c r="D80">
        <v>2012</v>
      </c>
      <c r="E80" t="s">
        <v>13</v>
      </c>
      <c r="F80" t="s">
        <v>14</v>
      </c>
      <c r="G80" t="s">
        <v>15</v>
      </c>
      <c r="H80" t="s">
        <v>16</v>
      </c>
      <c r="I80">
        <v>2.9768869999999999E-2</v>
      </c>
      <c r="J80">
        <v>14</v>
      </c>
      <c r="K80">
        <v>145.4786</v>
      </c>
      <c r="L80">
        <v>5</v>
      </c>
    </row>
    <row r="81" spans="1:12" x14ac:dyDescent="0.3">
      <c r="A81" t="s">
        <v>10</v>
      </c>
      <c r="B81" t="s">
        <v>125</v>
      </c>
      <c r="C81" t="s">
        <v>67</v>
      </c>
      <c r="D81">
        <v>2012</v>
      </c>
      <c r="E81" t="s">
        <v>13</v>
      </c>
      <c r="F81" t="s">
        <v>14</v>
      </c>
      <c r="G81" t="s">
        <v>15</v>
      </c>
      <c r="H81" t="s">
        <v>16</v>
      </c>
      <c r="I81">
        <v>0</v>
      </c>
      <c r="J81">
        <v>20.25</v>
      </c>
      <c r="K81">
        <v>194.27940000000001</v>
      </c>
      <c r="L81">
        <v>5</v>
      </c>
    </row>
    <row r="82" spans="1:12" x14ac:dyDescent="0.3">
      <c r="A82" t="s">
        <v>10</v>
      </c>
      <c r="B82" t="s">
        <v>126</v>
      </c>
      <c r="C82" t="s">
        <v>24</v>
      </c>
      <c r="D82">
        <v>2012</v>
      </c>
      <c r="E82" t="s">
        <v>13</v>
      </c>
      <c r="F82" t="s">
        <v>14</v>
      </c>
      <c r="G82" t="s">
        <v>15</v>
      </c>
      <c r="H82" t="s">
        <v>16</v>
      </c>
      <c r="I82">
        <v>6.6833743000000001E-2</v>
      </c>
      <c r="J82">
        <v>11.3</v>
      </c>
      <c r="K82">
        <v>257.2962</v>
      </c>
      <c r="L82">
        <v>5</v>
      </c>
    </row>
    <row r="83" spans="1:12" x14ac:dyDescent="0.3">
      <c r="A83" t="s">
        <v>10</v>
      </c>
      <c r="B83" t="s">
        <v>127</v>
      </c>
      <c r="C83" t="s">
        <v>24</v>
      </c>
      <c r="D83">
        <v>2012</v>
      </c>
      <c r="E83" t="s">
        <v>13</v>
      </c>
      <c r="F83" t="s">
        <v>14</v>
      </c>
      <c r="G83" t="s">
        <v>15</v>
      </c>
      <c r="H83" t="s">
        <v>16</v>
      </c>
      <c r="I83">
        <v>7.7284565999999999E-2</v>
      </c>
      <c r="J83">
        <v>11.6</v>
      </c>
      <c r="K83">
        <v>172.41059999999999</v>
      </c>
      <c r="L83">
        <v>5</v>
      </c>
    </row>
    <row r="84" spans="1:12" x14ac:dyDescent="0.3">
      <c r="A84" t="s">
        <v>10</v>
      </c>
      <c r="B84" t="s">
        <v>128</v>
      </c>
      <c r="C84" t="s">
        <v>24</v>
      </c>
      <c r="D84">
        <v>2012</v>
      </c>
      <c r="E84" t="s">
        <v>13</v>
      </c>
      <c r="F84" t="s">
        <v>14</v>
      </c>
      <c r="G84" t="s">
        <v>15</v>
      </c>
      <c r="H84" t="s">
        <v>16</v>
      </c>
      <c r="I84">
        <v>9.9425550000000001E-2</v>
      </c>
      <c r="J84">
        <v>16</v>
      </c>
      <c r="K84">
        <v>87.085599999999999</v>
      </c>
      <c r="L84">
        <v>5</v>
      </c>
    </row>
    <row r="85" spans="1:12" x14ac:dyDescent="0.3">
      <c r="A85" t="s">
        <v>10</v>
      </c>
      <c r="B85" t="s">
        <v>129</v>
      </c>
      <c r="C85" t="s">
        <v>54</v>
      </c>
      <c r="D85">
        <v>2012</v>
      </c>
      <c r="E85" t="s">
        <v>13</v>
      </c>
      <c r="F85" t="s">
        <v>14</v>
      </c>
      <c r="G85" t="s">
        <v>15</v>
      </c>
      <c r="H85" t="s">
        <v>16</v>
      </c>
      <c r="I85">
        <v>1.2477512E-2</v>
      </c>
      <c r="J85">
        <v>10.195</v>
      </c>
      <c r="K85">
        <v>197.11099999999999</v>
      </c>
      <c r="L85">
        <v>5</v>
      </c>
    </row>
    <row r="86" spans="1:12" x14ac:dyDescent="0.3">
      <c r="A86" t="s">
        <v>10</v>
      </c>
      <c r="B86" t="s">
        <v>130</v>
      </c>
      <c r="C86" t="s">
        <v>54</v>
      </c>
      <c r="D86">
        <v>2012</v>
      </c>
      <c r="E86" t="s">
        <v>13</v>
      </c>
      <c r="F86" t="s">
        <v>14</v>
      </c>
      <c r="G86" t="s">
        <v>15</v>
      </c>
      <c r="H86" t="s">
        <v>16</v>
      </c>
      <c r="I86">
        <v>2.6643448E-2</v>
      </c>
      <c r="J86">
        <v>13.65</v>
      </c>
      <c r="K86">
        <v>37.953200000000002</v>
      </c>
      <c r="L86">
        <v>5</v>
      </c>
    </row>
    <row r="87" spans="1:12" x14ac:dyDescent="0.3">
      <c r="A87" t="s">
        <v>10</v>
      </c>
      <c r="B87" t="s">
        <v>131</v>
      </c>
      <c r="C87" t="s">
        <v>48</v>
      </c>
      <c r="D87">
        <v>2012</v>
      </c>
      <c r="E87" t="s">
        <v>13</v>
      </c>
      <c r="F87" t="s">
        <v>14</v>
      </c>
      <c r="G87" t="s">
        <v>15</v>
      </c>
      <c r="H87" t="s">
        <v>16</v>
      </c>
      <c r="I87">
        <v>2.7386121999999999E-2</v>
      </c>
      <c r="J87">
        <v>9.6</v>
      </c>
      <c r="K87">
        <v>259.23039999999997</v>
      </c>
      <c r="L87">
        <v>5</v>
      </c>
    </row>
    <row r="88" spans="1:12" x14ac:dyDescent="0.3">
      <c r="A88" t="s">
        <v>10</v>
      </c>
      <c r="B88" t="s">
        <v>132</v>
      </c>
      <c r="C88" t="s">
        <v>48</v>
      </c>
      <c r="D88">
        <v>2012</v>
      </c>
      <c r="E88" t="s">
        <v>13</v>
      </c>
      <c r="F88" t="s">
        <v>14</v>
      </c>
      <c r="G88" t="s">
        <v>15</v>
      </c>
      <c r="H88" t="s">
        <v>16</v>
      </c>
      <c r="I88">
        <v>1.1443221999999999E-2</v>
      </c>
      <c r="J88">
        <v>10.695</v>
      </c>
      <c r="K88">
        <v>73.503799999999998</v>
      </c>
      <c r="L88">
        <v>5</v>
      </c>
    </row>
    <row r="89" spans="1:12"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x14ac:dyDescent="0.3">
      <c r="A91" t="s">
        <v>10</v>
      </c>
      <c r="B91" t="s">
        <v>135</v>
      </c>
      <c r="C91" t="s">
        <v>95</v>
      </c>
      <c r="D91">
        <v>2012</v>
      </c>
      <c r="E91" t="s">
        <v>13</v>
      </c>
      <c r="F91" t="s">
        <v>14</v>
      </c>
      <c r="G91" t="s">
        <v>15</v>
      </c>
      <c r="H91" t="s">
        <v>16</v>
      </c>
      <c r="I91">
        <v>0.18614827</v>
      </c>
      <c r="J91">
        <v>12.35</v>
      </c>
      <c r="K91">
        <v>78.232799999999997</v>
      </c>
      <c r="L91">
        <v>5</v>
      </c>
    </row>
    <row r="92" spans="1:12"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x14ac:dyDescent="0.3">
      <c r="A109" t="s">
        <v>10</v>
      </c>
      <c r="B109" t="s">
        <v>154</v>
      </c>
      <c r="C109" t="s">
        <v>74</v>
      </c>
      <c r="D109">
        <v>2018</v>
      </c>
      <c r="E109" t="s">
        <v>138</v>
      </c>
      <c r="F109" t="s">
        <v>14</v>
      </c>
      <c r="G109" t="s">
        <v>26</v>
      </c>
      <c r="H109" t="s">
        <v>40</v>
      </c>
      <c r="I109">
        <v>9.8606543000000005E-2</v>
      </c>
      <c r="K109">
        <v>232.73</v>
      </c>
      <c r="L109">
        <v>5</v>
      </c>
    </row>
    <row r="110" spans="1:12" x14ac:dyDescent="0.3">
      <c r="A110" t="s">
        <v>10</v>
      </c>
      <c r="B110" t="s">
        <v>155</v>
      </c>
      <c r="C110" t="s">
        <v>28</v>
      </c>
      <c r="D110">
        <v>2018</v>
      </c>
      <c r="E110" t="s">
        <v>138</v>
      </c>
      <c r="F110" t="s">
        <v>14</v>
      </c>
      <c r="G110" t="s">
        <v>26</v>
      </c>
      <c r="H110" t="s">
        <v>40</v>
      </c>
      <c r="I110">
        <v>0.18223655499999999</v>
      </c>
      <c r="K110">
        <v>107.1622</v>
      </c>
      <c r="L110">
        <v>5</v>
      </c>
    </row>
    <row r="111" spans="1:12" x14ac:dyDescent="0.3">
      <c r="A111" t="s">
        <v>10</v>
      </c>
      <c r="B111" t="s">
        <v>156</v>
      </c>
      <c r="C111" t="s">
        <v>12</v>
      </c>
      <c r="D111">
        <v>2018</v>
      </c>
      <c r="E111" t="s">
        <v>138</v>
      </c>
      <c r="F111" t="s">
        <v>14</v>
      </c>
      <c r="G111" t="s">
        <v>26</v>
      </c>
      <c r="H111" t="s">
        <v>40</v>
      </c>
      <c r="I111">
        <v>0.20916293599999999</v>
      </c>
      <c r="K111">
        <v>179.19759999999999</v>
      </c>
      <c r="L111">
        <v>5</v>
      </c>
    </row>
    <row r="112" spans="1:12" x14ac:dyDescent="0.3">
      <c r="A112" t="s">
        <v>10</v>
      </c>
      <c r="B112" t="s">
        <v>157</v>
      </c>
      <c r="C112" t="s">
        <v>54</v>
      </c>
      <c r="D112">
        <v>2018</v>
      </c>
      <c r="E112" t="s">
        <v>138</v>
      </c>
      <c r="F112" t="s">
        <v>14</v>
      </c>
      <c r="G112" t="s">
        <v>26</v>
      </c>
      <c r="H112" t="s">
        <v>40</v>
      </c>
      <c r="I112">
        <v>7.7480626999999996E-2</v>
      </c>
      <c r="K112">
        <v>101.399</v>
      </c>
      <c r="L112">
        <v>5</v>
      </c>
    </row>
    <row r="113" spans="1:12" x14ac:dyDescent="0.3">
      <c r="A113" t="s">
        <v>10</v>
      </c>
      <c r="B113" t="s">
        <v>158</v>
      </c>
      <c r="C113" t="s">
        <v>159</v>
      </c>
      <c r="D113">
        <v>2018</v>
      </c>
      <c r="E113" t="s">
        <v>138</v>
      </c>
      <c r="F113" t="s">
        <v>14</v>
      </c>
      <c r="G113" t="s">
        <v>26</v>
      </c>
      <c r="H113" t="s">
        <v>40</v>
      </c>
      <c r="I113">
        <v>1.2327846999999999E-2</v>
      </c>
      <c r="K113">
        <v>173.87379999999999</v>
      </c>
      <c r="L113">
        <v>5</v>
      </c>
    </row>
    <row r="114" spans="1:12" x14ac:dyDescent="0.3">
      <c r="A114" t="s">
        <v>10</v>
      </c>
      <c r="B114" t="s">
        <v>160</v>
      </c>
      <c r="C114" t="s">
        <v>28</v>
      </c>
      <c r="D114">
        <v>2018</v>
      </c>
      <c r="E114" t="s">
        <v>138</v>
      </c>
      <c r="F114" t="s">
        <v>14</v>
      </c>
      <c r="G114" t="s">
        <v>26</v>
      </c>
      <c r="H114" t="s">
        <v>40</v>
      </c>
      <c r="I114">
        <v>1.4342659000000001E-2</v>
      </c>
      <c r="K114">
        <v>103.76739999999999</v>
      </c>
      <c r="L114">
        <v>5</v>
      </c>
    </row>
    <row r="115" spans="1:12"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
      <c r="A141" t="s">
        <v>10</v>
      </c>
      <c r="B141" t="s">
        <v>185</v>
      </c>
      <c r="C141" t="s">
        <v>74</v>
      </c>
      <c r="D141">
        <v>2016</v>
      </c>
      <c r="E141" t="s">
        <v>25</v>
      </c>
      <c r="F141" t="s">
        <v>14</v>
      </c>
      <c r="G141" t="s">
        <v>26</v>
      </c>
      <c r="H141" t="s">
        <v>16</v>
      </c>
      <c r="I141">
        <v>2.0718654999999999E-2</v>
      </c>
      <c r="J141">
        <v>21.1</v>
      </c>
      <c r="K141">
        <v>130.49940000000001</v>
      </c>
      <c r="L141">
        <v>5</v>
      </c>
    </row>
    <row r="142" spans="1:12" x14ac:dyDescent="0.3">
      <c r="A142" t="s">
        <v>10</v>
      </c>
      <c r="B142" t="s">
        <v>186</v>
      </c>
      <c r="C142" t="s">
        <v>28</v>
      </c>
      <c r="D142">
        <v>2016</v>
      </c>
      <c r="E142" t="s">
        <v>25</v>
      </c>
      <c r="F142" t="s">
        <v>14</v>
      </c>
      <c r="G142" t="s">
        <v>26</v>
      </c>
      <c r="H142" t="s">
        <v>16</v>
      </c>
      <c r="I142">
        <v>1.9768503E-2</v>
      </c>
      <c r="J142">
        <v>8.1</v>
      </c>
      <c r="K142">
        <v>88.619799999999998</v>
      </c>
      <c r="L142">
        <v>5</v>
      </c>
    </row>
    <row r="143" spans="1:12" x14ac:dyDescent="0.3">
      <c r="A143" t="s">
        <v>10</v>
      </c>
      <c r="B143" t="s">
        <v>187</v>
      </c>
      <c r="C143" t="s">
        <v>67</v>
      </c>
      <c r="D143">
        <v>2016</v>
      </c>
      <c r="E143" t="s">
        <v>25</v>
      </c>
      <c r="F143" t="s">
        <v>14</v>
      </c>
      <c r="G143" t="s">
        <v>26</v>
      </c>
      <c r="H143" t="s">
        <v>16</v>
      </c>
      <c r="I143">
        <v>2.3322478000000001E-2</v>
      </c>
      <c r="J143">
        <v>11.35</v>
      </c>
      <c r="K143">
        <v>182.5608</v>
      </c>
      <c r="L143">
        <v>5</v>
      </c>
    </row>
    <row r="144" spans="1:12"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x14ac:dyDescent="0.3">
      <c r="A145" t="s">
        <v>10</v>
      </c>
      <c r="B145" t="s">
        <v>189</v>
      </c>
      <c r="C145" t="s">
        <v>24</v>
      </c>
      <c r="D145">
        <v>2016</v>
      </c>
      <c r="E145" t="s">
        <v>25</v>
      </c>
      <c r="F145" t="s">
        <v>14</v>
      </c>
      <c r="G145" t="s">
        <v>26</v>
      </c>
      <c r="H145" t="s">
        <v>16</v>
      </c>
      <c r="I145">
        <v>0.12560295099999999</v>
      </c>
      <c r="J145">
        <v>11.5</v>
      </c>
      <c r="K145">
        <v>100.83580000000001</v>
      </c>
      <c r="L145">
        <v>5</v>
      </c>
    </row>
    <row r="146" spans="1:12"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x14ac:dyDescent="0.3">
      <c r="A148" t="s">
        <v>10</v>
      </c>
      <c r="B148" t="s">
        <v>192</v>
      </c>
      <c r="C148" t="s">
        <v>153</v>
      </c>
      <c r="D148">
        <v>2016</v>
      </c>
      <c r="E148" t="s">
        <v>25</v>
      </c>
      <c r="F148" t="s">
        <v>14</v>
      </c>
      <c r="G148" t="s">
        <v>26</v>
      </c>
      <c r="H148" t="s">
        <v>16</v>
      </c>
      <c r="I148">
        <v>2.1573644999999999E-2</v>
      </c>
      <c r="J148">
        <v>7.42</v>
      </c>
      <c r="K148">
        <v>184.65819999999999</v>
      </c>
      <c r="L148">
        <v>5</v>
      </c>
    </row>
    <row r="149" spans="1:12" x14ac:dyDescent="0.3">
      <c r="A149" t="s">
        <v>10</v>
      </c>
      <c r="B149" t="s">
        <v>193</v>
      </c>
      <c r="C149" t="s">
        <v>153</v>
      </c>
      <c r="D149">
        <v>2016</v>
      </c>
      <c r="E149" t="s">
        <v>25</v>
      </c>
      <c r="F149" t="s">
        <v>14</v>
      </c>
      <c r="G149" t="s">
        <v>26</v>
      </c>
      <c r="H149" t="s">
        <v>16</v>
      </c>
      <c r="I149">
        <v>0.14629990200000001</v>
      </c>
      <c r="J149">
        <v>17.350000000000001</v>
      </c>
      <c r="K149">
        <v>150.405</v>
      </c>
      <c r="L149">
        <v>5</v>
      </c>
    </row>
    <row r="150" spans="1:12" x14ac:dyDescent="0.3">
      <c r="A150" t="s">
        <v>10</v>
      </c>
      <c r="B150" t="s">
        <v>194</v>
      </c>
      <c r="C150" t="s">
        <v>48</v>
      </c>
      <c r="D150">
        <v>2016</v>
      </c>
      <c r="E150" t="s">
        <v>25</v>
      </c>
      <c r="F150" t="s">
        <v>14</v>
      </c>
      <c r="G150" t="s">
        <v>26</v>
      </c>
      <c r="H150" t="s">
        <v>16</v>
      </c>
      <c r="I150">
        <v>5.9638809999999999E-3</v>
      </c>
      <c r="J150">
        <v>5.34</v>
      </c>
      <c r="K150">
        <v>99.535799999999995</v>
      </c>
      <c r="L150">
        <v>5</v>
      </c>
    </row>
    <row r="151" spans="1:12"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x14ac:dyDescent="0.3">
      <c r="A212" t="s">
        <v>10</v>
      </c>
      <c r="B212" t="s">
        <v>249</v>
      </c>
      <c r="C212" t="s">
        <v>28</v>
      </c>
      <c r="D212">
        <v>2015</v>
      </c>
      <c r="E212" t="s">
        <v>33</v>
      </c>
      <c r="F212" t="s">
        <v>34</v>
      </c>
      <c r="G212" t="s">
        <v>30</v>
      </c>
      <c r="H212" t="s">
        <v>16</v>
      </c>
      <c r="I212">
        <v>3.2242660999999999E-2</v>
      </c>
      <c r="J212">
        <v>5.46</v>
      </c>
      <c r="K212">
        <v>187.624</v>
      </c>
      <c r="L212">
        <v>5</v>
      </c>
    </row>
    <row r="213" spans="1:12" x14ac:dyDescent="0.3">
      <c r="A213" t="s">
        <v>10</v>
      </c>
      <c r="B213" t="s">
        <v>250</v>
      </c>
      <c r="C213" t="s">
        <v>28</v>
      </c>
      <c r="D213">
        <v>2015</v>
      </c>
      <c r="E213" t="s">
        <v>33</v>
      </c>
      <c r="F213" t="s">
        <v>34</v>
      </c>
      <c r="G213" t="s">
        <v>30</v>
      </c>
      <c r="H213" t="s">
        <v>16</v>
      </c>
      <c r="I213">
        <v>3.0905215E-2</v>
      </c>
      <c r="J213">
        <v>8.42</v>
      </c>
      <c r="K213">
        <v>227.6352</v>
      </c>
      <c r="L213">
        <v>5</v>
      </c>
    </row>
    <row r="214" spans="1:12" x14ac:dyDescent="0.3">
      <c r="A214" t="s">
        <v>10</v>
      </c>
      <c r="B214" t="s">
        <v>251</v>
      </c>
      <c r="C214" t="s">
        <v>28</v>
      </c>
      <c r="D214">
        <v>2015</v>
      </c>
      <c r="E214" t="s">
        <v>33</v>
      </c>
      <c r="F214" t="s">
        <v>34</v>
      </c>
      <c r="G214" t="s">
        <v>30</v>
      </c>
      <c r="H214" t="s">
        <v>16</v>
      </c>
      <c r="I214">
        <v>3.1330906999999998E-2</v>
      </c>
      <c r="J214">
        <v>14</v>
      </c>
      <c r="K214">
        <v>52.363999999999997</v>
      </c>
      <c r="L214">
        <v>5</v>
      </c>
    </row>
    <row r="215" spans="1:12" x14ac:dyDescent="0.3">
      <c r="A215" t="s">
        <v>10</v>
      </c>
      <c r="B215" t="s">
        <v>252</v>
      </c>
      <c r="C215" t="s">
        <v>28</v>
      </c>
      <c r="D215">
        <v>2015</v>
      </c>
      <c r="E215" t="s">
        <v>33</v>
      </c>
      <c r="F215" t="s">
        <v>34</v>
      </c>
      <c r="G215" t="s">
        <v>30</v>
      </c>
      <c r="H215" t="s">
        <v>16</v>
      </c>
      <c r="I215">
        <v>1.2036432E-2</v>
      </c>
      <c r="J215">
        <v>17.2</v>
      </c>
      <c r="K215">
        <v>165.7184</v>
      </c>
      <c r="L215">
        <v>5</v>
      </c>
    </row>
    <row r="216" spans="1:12" x14ac:dyDescent="0.3">
      <c r="A216" t="s">
        <v>10</v>
      </c>
      <c r="B216" t="s">
        <v>253</v>
      </c>
      <c r="C216" t="s">
        <v>67</v>
      </c>
      <c r="D216">
        <v>2015</v>
      </c>
      <c r="E216" t="s">
        <v>33</v>
      </c>
      <c r="F216" t="s">
        <v>34</v>
      </c>
      <c r="G216" t="s">
        <v>30</v>
      </c>
      <c r="H216" t="s">
        <v>16</v>
      </c>
      <c r="I216">
        <v>6.3354531000000006E-2</v>
      </c>
      <c r="J216">
        <v>11.35</v>
      </c>
      <c r="K216">
        <v>88.985600000000005</v>
      </c>
      <c r="L216">
        <v>5</v>
      </c>
    </row>
    <row r="217" spans="1:12" x14ac:dyDescent="0.3">
      <c r="A217" t="s">
        <v>10</v>
      </c>
      <c r="B217" t="s">
        <v>124</v>
      </c>
      <c r="C217" t="s">
        <v>67</v>
      </c>
      <c r="D217">
        <v>2015</v>
      </c>
      <c r="E217" t="s">
        <v>33</v>
      </c>
      <c r="F217" t="s">
        <v>34</v>
      </c>
      <c r="G217" t="s">
        <v>30</v>
      </c>
      <c r="H217" t="s">
        <v>16</v>
      </c>
      <c r="I217">
        <v>2.9782936999999999E-2</v>
      </c>
      <c r="J217">
        <v>14</v>
      </c>
      <c r="K217">
        <v>146.37860000000001</v>
      </c>
      <c r="L217">
        <v>5</v>
      </c>
    </row>
    <row r="218" spans="1:12" x14ac:dyDescent="0.3">
      <c r="A218" t="s">
        <v>10</v>
      </c>
      <c r="B218" t="s">
        <v>254</v>
      </c>
      <c r="C218" t="s">
        <v>24</v>
      </c>
      <c r="D218">
        <v>2015</v>
      </c>
      <c r="E218" t="s">
        <v>33</v>
      </c>
      <c r="F218" t="s">
        <v>34</v>
      </c>
      <c r="G218" t="s">
        <v>30</v>
      </c>
      <c r="H218" t="s">
        <v>16</v>
      </c>
      <c r="I218">
        <v>5.1596927000000001E-2</v>
      </c>
      <c r="J218">
        <v>20</v>
      </c>
      <c r="K218">
        <v>128.06780000000001</v>
      </c>
      <c r="L218">
        <v>5</v>
      </c>
    </row>
    <row r="219" spans="1:12"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256</v>
      </c>
      <c r="C220" t="s">
        <v>12</v>
      </c>
      <c r="D220">
        <v>2015</v>
      </c>
      <c r="E220" t="s">
        <v>33</v>
      </c>
      <c r="F220" t="s">
        <v>34</v>
      </c>
      <c r="G220" t="s">
        <v>30</v>
      </c>
      <c r="H220" t="s">
        <v>16</v>
      </c>
      <c r="I220">
        <v>1.4394261E-2</v>
      </c>
      <c r="J220">
        <v>7.35</v>
      </c>
      <c r="K220">
        <v>241.35120000000001</v>
      </c>
      <c r="L220">
        <v>5</v>
      </c>
    </row>
    <row r="221" spans="1:12" x14ac:dyDescent="0.3">
      <c r="A221" t="s">
        <v>10</v>
      </c>
      <c r="B221" t="s">
        <v>257</v>
      </c>
      <c r="C221" t="s">
        <v>12</v>
      </c>
      <c r="D221">
        <v>2015</v>
      </c>
      <c r="E221" t="s">
        <v>33</v>
      </c>
      <c r="F221" t="s">
        <v>34</v>
      </c>
      <c r="G221" t="s">
        <v>30</v>
      </c>
      <c r="H221" t="s">
        <v>16</v>
      </c>
      <c r="I221">
        <v>5.3692877999999999E-2</v>
      </c>
      <c r="J221">
        <v>10.1</v>
      </c>
      <c r="K221">
        <v>222.90880000000001</v>
      </c>
      <c r="L221">
        <v>5</v>
      </c>
    </row>
    <row r="222" spans="1:12" x14ac:dyDescent="0.3">
      <c r="A222" t="s">
        <v>10</v>
      </c>
      <c r="B222" t="s">
        <v>258</v>
      </c>
      <c r="C222" t="s">
        <v>54</v>
      </c>
      <c r="D222">
        <v>2015</v>
      </c>
      <c r="E222" t="s">
        <v>33</v>
      </c>
      <c r="F222" t="s">
        <v>34</v>
      </c>
      <c r="G222" t="s">
        <v>30</v>
      </c>
      <c r="H222" t="s">
        <v>16</v>
      </c>
      <c r="I222">
        <v>6.1301148999999999E-2</v>
      </c>
      <c r="J222">
        <v>5.15</v>
      </c>
      <c r="K222">
        <v>122.1388</v>
      </c>
      <c r="L222">
        <v>5</v>
      </c>
    </row>
    <row r="223" spans="1:12" x14ac:dyDescent="0.3">
      <c r="A223" t="s">
        <v>10</v>
      </c>
      <c r="B223" t="s">
        <v>259</v>
      </c>
      <c r="C223" t="s">
        <v>48</v>
      </c>
      <c r="D223">
        <v>2015</v>
      </c>
      <c r="E223" t="s">
        <v>33</v>
      </c>
      <c r="F223" t="s">
        <v>34</v>
      </c>
      <c r="G223" t="s">
        <v>30</v>
      </c>
      <c r="H223" t="s">
        <v>16</v>
      </c>
      <c r="I223">
        <v>0</v>
      </c>
      <c r="J223">
        <v>6.61</v>
      </c>
      <c r="K223">
        <v>186.4898</v>
      </c>
      <c r="L223">
        <v>5</v>
      </c>
    </row>
    <row r="224" spans="1:12" x14ac:dyDescent="0.3">
      <c r="A224" t="s">
        <v>10</v>
      </c>
      <c r="B224" t="s">
        <v>260</v>
      </c>
      <c r="C224" t="s">
        <v>48</v>
      </c>
      <c r="D224">
        <v>2015</v>
      </c>
      <c r="E224" t="s">
        <v>33</v>
      </c>
      <c r="F224" t="s">
        <v>34</v>
      </c>
      <c r="G224" t="s">
        <v>30</v>
      </c>
      <c r="H224" t="s">
        <v>16</v>
      </c>
      <c r="I224">
        <v>1.1148865000000001E-2</v>
      </c>
      <c r="J224">
        <v>10.3</v>
      </c>
      <c r="K224">
        <v>84.853999999999999</v>
      </c>
      <c r="L224">
        <v>5</v>
      </c>
    </row>
    <row r="225" spans="1:12" x14ac:dyDescent="0.3">
      <c r="A225" t="s">
        <v>10</v>
      </c>
      <c r="B225" t="s">
        <v>261</v>
      </c>
      <c r="C225" t="s">
        <v>48</v>
      </c>
      <c r="D225">
        <v>2015</v>
      </c>
      <c r="E225" t="s">
        <v>33</v>
      </c>
      <c r="F225" t="s">
        <v>34</v>
      </c>
      <c r="G225" t="s">
        <v>30</v>
      </c>
      <c r="H225" t="s">
        <v>16</v>
      </c>
      <c r="I225">
        <v>1.1004130000000001E-2</v>
      </c>
      <c r="J225">
        <v>10.5</v>
      </c>
      <c r="K225">
        <v>167.1842</v>
      </c>
      <c r="L225">
        <v>5</v>
      </c>
    </row>
    <row r="226" spans="1:12" x14ac:dyDescent="0.3">
      <c r="A226" t="s">
        <v>10</v>
      </c>
      <c r="B226" t="s">
        <v>262</v>
      </c>
      <c r="C226" t="s">
        <v>48</v>
      </c>
      <c r="D226">
        <v>2015</v>
      </c>
      <c r="E226" t="s">
        <v>33</v>
      </c>
      <c r="F226" t="s">
        <v>34</v>
      </c>
      <c r="G226" t="s">
        <v>30</v>
      </c>
      <c r="H226" t="s">
        <v>16</v>
      </c>
      <c r="I226">
        <v>0.125528734</v>
      </c>
      <c r="J226">
        <v>13.5</v>
      </c>
      <c r="K226">
        <v>262.19099999999997</v>
      </c>
      <c r="L226">
        <v>5</v>
      </c>
    </row>
    <row r="227" spans="1:12" x14ac:dyDescent="0.3">
      <c r="A227" t="s">
        <v>10</v>
      </c>
      <c r="B227" t="s">
        <v>263</v>
      </c>
      <c r="C227" t="s">
        <v>95</v>
      </c>
      <c r="D227">
        <v>2020</v>
      </c>
      <c r="E227" t="s">
        <v>37</v>
      </c>
      <c r="F227" t="s">
        <v>34</v>
      </c>
      <c r="G227" t="s">
        <v>30</v>
      </c>
      <c r="H227" t="s">
        <v>16</v>
      </c>
      <c r="I227">
        <v>4.4272225999999998E-2</v>
      </c>
      <c r="J227">
        <v>7.52</v>
      </c>
      <c r="K227">
        <v>181.39500000000001</v>
      </c>
      <c r="L227">
        <v>5</v>
      </c>
    </row>
    <row r="228" spans="1:12"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
      <c r="A230" t="s">
        <v>10</v>
      </c>
      <c r="B230" t="s">
        <v>265</v>
      </c>
      <c r="C230" t="s">
        <v>95</v>
      </c>
      <c r="D230">
        <v>2020</v>
      </c>
      <c r="E230" t="s">
        <v>37</v>
      </c>
      <c r="F230" t="s">
        <v>34</v>
      </c>
      <c r="G230" t="s">
        <v>30</v>
      </c>
      <c r="H230" t="s">
        <v>16</v>
      </c>
      <c r="I230">
        <v>3.8102203000000001E-2</v>
      </c>
      <c r="J230">
        <v>17.75</v>
      </c>
      <c r="K230">
        <v>154.06559999999999</v>
      </c>
      <c r="L230">
        <v>5</v>
      </c>
    </row>
    <row r="231" spans="1:12" x14ac:dyDescent="0.3">
      <c r="A231" t="s">
        <v>10</v>
      </c>
      <c r="B231" t="s">
        <v>266</v>
      </c>
      <c r="C231" t="s">
        <v>95</v>
      </c>
      <c r="D231">
        <v>2020</v>
      </c>
      <c r="E231" t="s">
        <v>37</v>
      </c>
      <c r="F231" t="s">
        <v>34</v>
      </c>
      <c r="G231" t="s">
        <v>30</v>
      </c>
      <c r="H231" t="s">
        <v>16</v>
      </c>
      <c r="I231">
        <v>0.118025091</v>
      </c>
      <c r="J231">
        <v>20.2</v>
      </c>
      <c r="K231">
        <v>195.81100000000001</v>
      </c>
      <c r="L231">
        <v>5</v>
      </c>
    </row>
    <row r="232" spans="1:12"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
      <c r="A233" t="s">
        <v>10</v>
      </c>
      <c r="B233" t="s">
        <v>268</v>
      </c>
      <c r="C233" t="s">
        <v>28</v>
      </c>
      <c r="D233">
        <v>2020</v>
      </c>
      <c r="E233" t="s">
        <v>37</v>
      </c>
      <c r="F233" t="s">
        <v>34</v>
      </c>
      <c r="G233" t="s">
        <v>30</v>
      </c>
      <c r="H233" t="s">
        <v>16</v>
      </c>
      <c r="I233">
        <v>0.154363209</v>
      </c>
      <c r="J233">
        <v>7.84</v>
      </c>
      <c r="K233">
        <v>50.835000000000001</v>
      </c>
      <c r="L233">
        <v>5</v>
      </c>
    </row>
    <row r="234" spans="1:12"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269</v>
      </c>
      <c r="C235" t="s">
        <v>24</v>
      </c>
      <c r="D235">
        <v>2020</v>
      </c>
      <c r="E235" t="s">
        <v>37</v>
      </c>
      <c r="F235" t="s">
        <v>34</v>
      </c>
      <c r="G235" t="s">
        <v>30</v>
      </c>
      <c r="H235" t="s">
        <v>16</v>
      </c>
      <c r="I235">
        <v>0.14749252400000001</v>
      </c>
      <c r="J235">
        <v>10.195</v>
      </c>
      <c r="K235">
        <v>141.5838</v>
      </c>
      <c r="L235">
        <v>5</v>
      </c>
    </row>
    <row r="236" spans="1:12" x14ac:dyDescent="0.3">
      <c r="A236" t="s">
        <v>10</v>
      </c>
      <c r="B236" t="s">
        <v>270</v>
      </c>
      <c r="C236" t="s">
        <v>24</v>
      </c>
      <c r="D236">
        <v>2020</v>
      </c>
      <c r="E236" t="s">
        <v>37</v>
      </c>
      <c r="F236" t="s">
        <v>34</v>
      </c>
      <c r="G236" t="s">
        <v>30</v>
      </c>
      <c r="H236" t="s">
        <v>16</v>
      </c>
      <c r="I236">
        <v>0</v>
      </c>
      <c r="J236">
        <v>16.100000000000001</v>
      </c>
      <c r="K236">
        <v>35.155799999999999</v>
      </c>
      <c r="L236">
        <v>5</v>
      </c>
    </row>
    <row r="237" spans="1:12" x14ac:dyDescent="0.3">
      <c r="A237" t="s">
        <v>10</v>
      </c>
      <c r="B237" t="s">
        <v>271</v>
      </c>
      <c r="C237" t="s">
        <v>12</v>
      </c>
      <c r="D237">
        <v>2020</v>
      </c>
      <c r="E237" t="s">
        <v>37</v>
      </c>
      <c r="F237" t="s">
        <v>34</v>
      </c>
      <c r="G237" t="s">
        <v>15</v>
      </c>
      <c r="H237" t="s">
        <v>16</v>
      </c>
      <c r="I237">
        <v>4.7036036000000003E-2</v>
      </c>
      <c r="J237">
        <v>8.77</v>
      </c>
      <c r="K237">
        <v>170.54220000000001</v>
      </c>
      <c r="L237">
        <v>5</v>
      </c>
    </row>
    <row r="238" spans="1:12" x14ac:dyDescent="0.3">
      <c r="A238" t="s">
        <v>10</v>
      </c>
      <c r="B238" t="s">
        <v>272</v>
      </c>
      <c r="C238" t="s">
        <v>12</v>
      </c>
      <c r="D238">
        <v>2020</v>
      </c>
      <c r="E238" t="s">
        <v>37</v>
      </c>
      <c r="F238" t="s">
        <v>34</v>
      </c>
      <c r="G238" t="s">
        <v>15</v>
      </c>
      <c r="H238" t="s">
        <v>16</v>
      </c>
      <c r="I238">
        <v>0.16009590100000001</v>
      </c>
      <c r="J238">
        <v>17.25</v>
      </c>
      <c r="K238">
        <v>61.519399999999997</v>
      </c>
      <c r="L238">
        <v>5</v>
      </c>
    </row>
    <row r="239" spans="1:12" x14ac:dyDescent="0.3">
      <c r="A239" t="s">
        <v>10</v>
      </c>
      <c r="B239" t="s">
        <v>273</v>
      </c>
      <c r="C239" t="s">
        <v>54</v>
      </c>
      <c r="D239">
        <v>2020</v>
      </c>
      <c r="E239" t="s">
        <v>37</v>
      </c>
      <c r="F239" t="s">
        <v>34</v>
      </c>
      <c r="G239" t="s">
        <v>15</v>
      </c>
      <c r="H239" t="s">
        <v>16</v>
      </c>
      <c r="I239">
        <v>3.3951826999999997E-2</v>
      </c>
      <c r="J239">
        <v>12.35</v>
      </c>
      <c r="K239">
        <v>197.24260000000001</v>
      </c>
      <c r="L239">
        <v>5</v>
      </c>
    </row>
    <row r="240" spans="1:12" x14ac:dyDescent="0.3">
      <c r="A240" t="s">
        <v>10</v>
      </c>
      <c r="B240" t="s">
        <v>130</v>
      </c>
      <c r="C240" t="s">
        <v>54</v>
      </c>
      <c r="D240">
        <v>2020</v>
      </c>
      <c r="E240" t="s">
        <v>37</v>
      </c>
      <c r="F240" t="s">
        <v>34</v>
      </c>
      <c r="G240" t="s">
        <v>15</v>
      </c>
      <c r="H240" t="s">
        <v>16</v>
      </c>
      <c r="I240">
        <v>0</v>
      </c>
      <c r="J240">
        <v>13.65</v>
      </c>
      <c r="K240">
        <v>36.653199999999998</v>
      </c>
      <c r="L240">
        <v>5</v>
      </c>
    </row>
    <row r="241" spans="1:12"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
      <c r="A244" t="s">
        <v>10</v>
      </c>
      <c r="B244" t="s">
        <v>82</v>
      </c>
      <c r="C244" t="s">
        <v>48</v>
      </c>
      <c r="D244">
        <v>2020</v>
      </c>
      <c r="E244" t="s">
        <v>37</v>
      </c>
      <c r="F244" t="s">
        <v>34</v>
      </c>
      <c r="G244" t="s">
        <v>15</v>
      </c>
      <c r="H244" t="s">
        <v>16</v>
      </c>
      <c r="I244">
        <v>3.8167452999999997E-2</v>
      </c>
      <c r="J244">
        <v>13.15</v>
      </c>
      <c r="K244">
        <v>89.485600000000005</v>
      </c>
      <c r="L244">
        <v>5</v>
      </c>
    </row>
    <row r="245" spans="1:12"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x14ac:dyDescent="0.3">
      <c r="A247" t="s">
        <v>10</v>
      </c>
      <c r="B247" t="s">
        <v>279</v>
      </c>
      <c r="C247" t="s">
        <v>12</v>
      </c>
      <c r="D247">
        <v>2020</v>
      </c>
      <c r="E247" t="s">
        <v>37</v>
      </c>
      <c r="F247" t="s">
        <v>34</v>
      </c>
      <c r="G247" t="s">
        <v>15</v>
      </c>
      <c r="H247" t="s">
        <v>16</v>
      </c>
      <c r="I247">
        <v>4.3402224000000003E-2</v>
      </c>
      <c r="J247">
        <v>11.35</v>
      </c>
      <c r="K247">
        <v>197.07419999999999</v>
      </c>
      <c r="L247">
        <v>5</v>
      </c>
    </row>
    <row r="248" spans="1:12" x14ac:dyDescent="0.3">
      <c r="A248" t="s">
        <v>10</v>
      </c>
      <c r="B248" t="s">
        <v>280</v>
      </c>
      <c r="C248" t="s">
        <v>12</v>
      </c>
      <c r="D248">
        <v>2020</v>
      </c>
      <c r="E248" t="s">
        <v>37</v>
      </c>
      <c r="F248" t="s">
        <v>34</v>
      </c>
      <c r="G248" t="s">
        <v>15</v>
      </c>
      <c r="H248" t="s">
        <v>16</v>
      </c>
      <c r="I248">
        <v>0.13283065999999999</v>
      </c>
      <c r="J248">
        <v>12.15</v>
      </c>
      <c r="K248">
        <v>190.68719999999999</v>
      </c>
      <c r="L248">
        <v>5</v>
      </c>
    </row>
    <row r="249" spans="1:12"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
      <c r="A284" t="s">
        <v>10</v>
      </c>
      <c r="B284" t="s">
        <v>310</v>
      </c>
      <c r="C284" t="s">
        <v>95</v>
      </c>
      <c r="D284">
        <v>2017</v>
      </c>
      <c r="E284" t="s">
        <v>50</v>
      </c>
      <c r="F284" t="s">
        <v>34</v>
      </c>
      <c r="G284" t="s">
        <v>26</v>
      </c>
      <c r="H284" t="s">
        <v>16</v>
      </c>
      <c r="I284">
        <v>2.4891881000000001E-2</v>
      </c>
      <c r="J284">
        <v>10.3</v>
      </c>
      <c r="K284">
        <v>170.94220000000001</v>
      </c>
      <c r="L284">
        <v>5</v>
      </c>
    </row>
    <row r="285" spans="1:12" x14ac:dyDescent="0.3">
      <c r="A285" t="s">
        <v>10</v>
      </c>
      <c r="B285" t="s">
        <v>311</v>
      </c>
      <c r="C285" t="s">
        <v>95</v>
      </c>
      <c r="D285">
        <v>2017</v>
      </c>
      <c r="E285" t="s">
        <v>50</v>
      </c>
      <c r="F285" t="s">
        <v>34</v>
      </c>
      <c r="G285" t="s">
        <v>26</v>
      </c>
      <c r="H285" t="s">
        <v>16</v>
      </c>
      <c r="I285">
        <v>5.8719726E-2</v>
      </c>
      <c r="J285">
        <v>11.65</v>
      </c>
      <c r="K285">
        <v>171.1422</v>
      </c>
      <c r="L285">
        <v>5</v>
      </c>
    </row>
    <row r="286" spans="1:12"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
      <c r="A287" t="s">
        <v>10</v>
      </c>
      <c r="B287" t="s">
        <v>313</v>
      </c>
      <c r="C287" t="s">
        <v>28</v>
      </c>
      <c r="D287">
        <v>2017</v>
      </c>
      <c r="E287" t="s">
        <v>50</v>
      </c>
      <c r="F287" t="s">
        <v>34</v>
      </c>
      <c r="G287" t="s">
        <v>26</v>
      </c>
      <c r="H287" t="s">
        <v>16</v>
      </c>
      <c r="I287">
        <v>0.11454343</v>
      </c>
      <c r="J287">
        <v>15.7</v>
      </c>
      <c r="K287">
        <v>113.72020000000001</v>
      </c>
      <c r="L287">
        <v>5</v>
      </c>
    </row>
    <row r="288" spans="1:12" x14ac:dyDescent="0.3">
      <c r="A288" t="s">
        <v>10</v>
      </c>
      <c r="B288" t="s">
        <v>314</v>
      </c>
      <c r="C288" t="s">
        <v>24</v>
      </c>
      <c r="D288">
        <v>2017</v>
      </c>
      <c r="E288" t="s">
        <v>50</v>
      </c>
      <c r="F288" t="s">
        <v>34</v>
      </c>
      <c r="G288" t="s">
        <v>26</v>
      </c>
      <c r="H288" t="s">
        <v>16</v>
      </c>
      <c r="I288">
        <v>1.8019661999999999E-2</v>
      </c>
      <c r="J288">
        <v>19.75</v>
      </c>
      <c r="K288">
        <v>181.566</v>
      </c>
      <c r="L288">
        <v>5</v>
      </c>
    </row>
    <row r="289" spans="1:12" x14ac:dyDescent="0.3">
      <c r="A289" t="s">
        <v>10</v>
      </c>
      <c r="B289" t="s">
        <v>86</v>
      </c>
      <c r="C289" t="s">
        <v>12</v>
      </c>
      <c r="D289">
        <v>2017</v>
      </c>
      <c r="E289" t="s">
        <v>50</v>
      </c>
      <c r="F289" t="s">
        <v>34</v>
      </c>
      <c r="G289" t="s">
        <v>26</v>
      </c>
      <c r="H289" t="s">
        <v>16</v>
      </c>
      <c r="I289">
        <v>1.8926773000000001E-2</v>
      </c>
      <c r="J289">
        <v>15.7</v>
      </c>
      <c r="K289">
        <v>60.253599999999999</v>
      </c>
      <c r="L289">
        <v>5</v>
      </c>
    </row>
    <row r="290" spans="1:12" x14ac:dyDescent="0.3">
      <c r="A290" t="s">
        <v>10</v>
      </c>
      <c r="B290" t="s">
        <v>315</v>
      </c>
      <c r="C290" t="s">
        <v>12</v>
      </c>
      <c r="D290">
        <v>2017</v>
      </c>
      <c r="E290" t="s">
        <v>50</v>
      </c>
      <c r="F290" t="s">
        <v>34</v>
      </c>
      <c r="G290" t="s">
        <v>26</v>
      </c>
      <c r="H290" t="s">
        <v>16</v>
      </c>
      <c r="I290">
        <v>5.9790095000000001E-2</v>
      </c>
      <c r="J290">
        <v>20.2</v>
      </c>
      <c r="K290">
        <v>127.4678</v>
      </c>
      <c r="L290">
        <v>5</v>
      </c>
    </row>
    <row r="291" spans="1:12" x14ac:dyDescent="0.3">
      <c r="A291" t="s">
        <v>10</v>
      </c>
      <c r="B291" t="s">
        <v>316</v>
      </c>
      <c r="C291" t="s">
        <v>54</v>
      </c>
      <c r="D291">
        <v>2017</v>
      </c>
      <c r="E291" t="s">
        <v>50</v>
      </c>
      <c r="F291" t="s">
        <v>34</v>
      </c>
      <c r="G291" t="s">
        <v>26</v>
      </c>
      <c r="H291" t="s">
        <v>16</v>
      </c>
      <c r="I291">
        <v>2.4536636000000001E-2</v>
      </c>
      <c r="J291">
        <v>5.63</v>
      </c>
      <c r="K291">
        <v>106.1306</v>
      </c>
      <c r="L291">
        <v>5</v>
      </c>
    </row>
    <row r="292" spans="1:12" x14ac:dyDescent="0.3">
      <c r="A292" t="s">
        <v>10</v>
      </c>
      <c r="B292" t="s">
        <v>317</v>
      </c>
      <c r="C292" t="s">
        <v>54</v>
      </c>
      <c r="D292">
        <v>2017</v>
      </c>
      <c r="E292" t="s">
        <v>50</v>
      </c>
      <c r="F292" t="s">
        <v>34</v>
      </c>
      <c r="G292" t="s">
        <v>26</v>
      </c>
      <c r="H292" t="s">
        <v>16</v>
      </c>
      <c r="I292">
        <v>2.2054553000000001E-2</v>
      </c>
      <c r="J292">
        <v>9.5</v>
      </c>
      <c r="K292">
        <v>195.4452</v>
      </c>
      <c r="L292">
        <v>5</v>
      </c>
    </row>
    <row r="293" spans="1:12" x14ac:dyDescent="0.3">
      <c r="A293" t="s">
        <v>10</v>
      </c>
      <c r="B293" t="s">
        <v>318</v>
      </c>
      <c r="C293" t="s">
        <v>54</v>
      </c>
      <c r="D293">
        <v>2017</v>
      </c>
      <c r="E293" t="s">
        <v>50</v>
      </c>
      <c r="F293" t="s">
        <v>34</v>
      </c>
      <c r="G293" t="s">
        <v>26</v>
      </c>
      <c r="H293" t="s">
        <v>16</v>
      </c>
      <c r="I293">
        <v>8.7342840000000001E-3</v>
      </c>
      <c r="J293">
        <v>15.7</v>
      </c>
      <c r="K293">
        <v>207.898</v>
      </c>
      <c r="L293">
        <v>5</v>
      </c>
    </row>
    <row r="294" spans="1:12" x14ac:dyDescent="0.3">
      <c r="A294" t="s">
        <v>10</v>
      </c>
      <c r="B294" t="s">
        <v>194</v>
      </c>
      <c r="C294" t="s">
        <v>48</v>
      </c>
      <c r="D294">
        <v>2017</v>
      </c>
      <c r="E294" t="s">
        <v>50</v>
      </c>
      <c r="F294" t="s">
        <v>34</v>
      </c>
      <c r="G294" t="s">
        <v>26</v>
      </c>
      <c r="H294" t="s">
        <v>16</v>
      </c>
      <c r="I294">
        <v>5.9627530000000003E-3</v>
      </c>
      <c r="J294">
        <v>5.34</v>
      </c>
      <c r="K294">
        <v>102.4358</v>
      </c>
      <c r="L294">
        <v>5</v>
      </c>
    </row>
    <row r="295" spans="1:12"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
      <c r="A314" t="s">
        <v>10</v>
      </c>
      <c r="B314" t="s">
        <v>336</v>
      </c>
      <c r="C314" t="s">
        <v>95</v>
      </c>
      <c r="D314">
        <v>2011</v>
      </c>
      <c r="E314" t="s">
        <v>39</v>
      </c>
      <c r="F314" t="s">
        <v>21</v>
      </c>
      <c r="G314" t="s">
        <v>30</v>
      </c>
      <c r="H314" t="s">
        <v>40</v>
      </c>
      <c r="I314">
        <v>0.21468106300000001</v>
      </c>
      <c r="J314">
        <v>14.5</v>
      </c>
      <c r="K314">
        <v>102.7332</v>
      </c>
      <c r="L314">
        <v>5</v>
      </c>
    </row>
    <row r="315" spans="1:12" x14ac:dyDescent="0.3">
      <c r="A315" t="s">
        <v>10</v>
      </c>
      <c r="B315" t="s">
        <v>337</v>
      </c>
      <c r="C315" t="s">
        <v>57</v>
      </c>
      <c r="D315">
        <v>2011</v>
      </c>
      <c r="E315" t="s">
        <v>39</v>
      </c>
      <c r="F315" t="s">
        <v>21</v>
      </c>
      <c r="G315" t="s">
        <v>30</v>
      </c>
      <c r="H315" t="s">
        <v>40</v>
      </c>
      <c r="I315">
        <v>0.190569038</v>
      </c>
      <c r="J315">
        <v>12.8</v>
      </c>
      <c r="K315">
        <v>138.78380000000001</v>
      </c>
      <c r="L315">
        <v>5</v>
      </c>
    </row>
    <row r="316" spans="1:12" x14ac:dyDescent="0.3">
      <c r="A316" t="s">
        <v>10</v>
      </c>
      <c r="B316" t="s">
        <v>338</v>
      </c>
      <c r="C316" t="s">
        <v>67</v>
      </c>
      <c r="D316">
        <v>2011</v>
      </c>
      <c r="E316" t="s">
        <v>39</v>
      </c>
      <c r="F316" t="s">
        <v>21</v>
      </c>
      <c r="G316" t="s">
        <v>30</v>
      </c>
      <c r="H316" t="s">
        <v>40</v>
      </c>
      <c r="I316">
        <v>7.6097034999999993E-2</v>
      </c>
      <c r="J316">
        <v>18.5</v>
      </c>
      <c r="K316">
        <v>145.81020000000001</v>
      </c>
      <c r="L316">
        <v>5</v>
      </c>
    </row>
    <row r="317" spans="1:12" x14ac:dyDescent="0.3">
      <c r="A317" t="s">
        <v>10</v>
      </c>
      <c r="B317" t="s">
        <v>339</v>
      </c>
      <c r="C317" t="s">
        <v>24</v>
      </c>
      <c r="D317">
        <v>2011</v>
      </c>
      <c r="E317" t="s">
        <v>39</v>
      </c>
      <c r="F317" t="s">
        <v>21</v>
      </c>
      <c r="G317" t="s">
        <v>30</v>
      </c>
      <c r="H317" t="s">
        <v>40</v>
      </c>
      <c r="I317">
        <v>0.14367017900000001</v>
      </c>
      <c r="J317">
        <v>15.5</v>
      </c>
      <c r="K317">
        <v>48.469200000000001</v>
      </c>
      <c r="L317">
        <v>5</v>
      </c>
    </row>
    <row r="318" spans="1:12"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x14ac:dyDescent="0.3">
      <c r="A339" t="s">
        <v>10</v>
      </c>
      <c r="B339" t="s">
        <v>357</v>
      </c>
      <c r="C339" t="s">
        <v>28</v>
      </c>
      <c r="D339">
        <v>2014</v>
      </c>
      <c r="E339" t="s">
        <v>29</v>
      </c>
      <c r="F339" t="s">
        <v>21</v>
      </c>
      <c r="G339" t="s">
        <v>30</v>
      </c>
      <c r="H339" t="s">
        <v>16</v>
      </c>
      <c r="I339">
        <v>1.4720848E-2</v>
      </c>
      <c r="J339">
        <v>13.8</v>
      </c>
      <c r="K339">
        <v>89.917199999999994</v>
      </c>
      <c r="L339">
        <v>5</v>
      </c>
    </row>
    <row r="340" spans="1:12"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359</v>
      </c>
      <c r="C342" t="s">
        <v>24</v>
      </c>
      <c r="D342">
        <v>2014</v>
      </c>
      <c r="E342" t="s">
        <v>29</v>
      </c>
      <c r="F342" t="s">
        <v>21</v>
      </c>
      <c r="G342" t="s">
        <v>30</v>
      </c>
      <c r="H342" t="s">
        <v>16</v>
      </c>
      <c r="I342">
        <v>8.3536989000000006E-2</v>
      </c>
      <c r="J342">
        <v>20.75</v>
      </c>
      <c r="K342">
        <v>180.33179999999999</v>
      </c>
      <c r="L342">
        <v>5</v>
      </c>
    </row>
    <row r="343" spans="1:12" x14ac:dyDescent="0.3">
      <c r="A343" t="s">
        <v>10</v>
      </c>
      <c r="B343" t="s">
        <v>360</v>
      </c>
      <c r="C343" t="s">
        <v>12</v>
      </c>
      <c r="D343">
        <v>2014</v>
      </c>
      <c r="E343" t="s">
        <v>29</v>
      </c>
      <c r="F343" t="s">
        <v>21</v>
      </c>
      <c r="G343" t="s">
        <v>30</v>
      </c>
      <c r="H343" t="s">
        <v>16</v>
      </c>
      <c r="I343">
        <v>0</v>
      </c>
      <c r="J343">
        <v>10.3</v>
      </c>
      <c r="K343">
        <v>115.0176</v>
      </c>
      <c r="L343">
        <v>5</v>
      </c>
    </row>
    <row r="344" spans="1:12" x14ac:dyDescent="0.3">
      <c r="A344" t="s">
        <v>10</v>
      </c>
      <c r="B344" t="s">
        <v>361</v>
      </c>
      <c r="C344" t="s">
        <v>12</v>
      </c>
      <c r="D344">
        <v>2014</v>
      </c>
      <c r="E344" t="s">
        <v>29</v>
      </c>
      <c r="F344" t="s">
        <v>21</v>
      </c>
      <c r="G344" t="s">
        <v>30</v>
      </c>
      <c r="H344" t="s">
        <v>16</v>
      </c>
      <c r="I344">
        <v>0.152001201</v>
      </c>
      <c r="J344">
        <v>12.85</v>
      </c>
      <c r="K344">
        <v>252.3382</v>
      </c>
      <c r="L344">
        <v>5</v>
      </c>
    </row>
    <row r="345" spans="1:12" x14ac:dyDescent="0.3">
      <c r="A345" t="s">
        <v>10</v>
      </c>
      <c r="B345" t="s">
        <v>362</v>
      </c>
      <c r="C345" t="s">
        <v>12</v>
      </c>
      <c r="D345">
        <v>2014</v>
      </c>
      <c r="E345" t="s">
        <v>29</v>
      </c>
      <c r="F345" t="s">
        <v>21</v>
      </c>
      <c r="G345" t="s">
        <v>30</v>
      </c>
      <c r="H345" t="s">
        <v>16</v>
      </c>
      <c r="I345">
        <v>4.2923071E-2</v>
      </c>
      <c r="J345">
        <v>14.6</v>
      </c>
      <c r="K345">
        <v>109.8254</v>
      </c>
      <c r="L345">
        <v>5</v>
      </c>
    </row>
    <row r="346" spans="1:12" x14ac:dyDescent="0.3">
      <c r="A346" t="s">
        <v>10</v>
      </c>
      <c r="B346" t="s">
        <v>363</v>
      </c>
      <c r="C346" t="s">
        <v>12</v>
      </c>
      <c r="D346">
        <v>2014</v>
      </c>
      <c r="E346" t="s">
        <v>29</v>
      </c>
      <c r="F346" t="s">
        <v>21</v>
      </c>
      <c r="G346" t="s">
        <v>30</v>
      </c>
      <c r="H346" t="s">
        <v>16</v>
      </c>
      <c r="I346">
        <v>3.5227697000000002E-2</v>
      </c>
      <c r="J346">
        <v>14.85</v>
      </c>
      <c r="K346">
        <v>159.55779999999999</v>
      </c>
      <c r="L346">
        <v>5</v>
      </c>
    </row>
    <row r="347" spans="1:12"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365</v>
      </c>
      <c r="C348" t="s">
        <v>48</v>
      </c>
      <c r="D348">
        <v>2014</v>
      </c>
      <c r="E348" t="s">
        <v>29</v>
      </c>
      <c r="F348" t="s">
        <v>21</v>
      </c>
      <c r="G348" t="s">
        <v>30</v>
      </c>
      <c r="H348" t="s">
        <v>16</v>
      </c>
      <c r="I348">
        <v>1.4200671E-2</v>
      </c>
      <c r="J348">
        <v>9.6</v>
      </c>
      <c r="K348">
        <v>187.18719999999999</v>
      </c>
      <c r="L348">
        <v>5</v>
      </c>
    </row>
    <row r="349" spans="1:12" x14ac:dyDescent="0.3">
      <c r="A349" t="s">
        <v>10</v>
      </c>
      <c r="B349" t="s">
        <v>366</v>
      </c>
      <c r="C349" t="s">
        <v>48</v>
      </c>
      <c r="D349">
        <v>2014</v>
      </c>
      <c r="E349" t="s">
        <v>29</v>
      </c>
      <c r="F349" t="s">
        <v>21</v>
      </c>
      <c r="G349" t="s">
        <v>30</v>
      </c>
      <c r="H349" t="s">
        <v>16</v>
      </c>
      <c r="I349">
        <v>6.1992874000000003E-2</v>
      </c>
      <c r="J349">
        <v>16.7</v>
      </c>
      <c r="K349">
        <v>60.956200000000003</v>
      </c>
      <c r="L349">
        <v>5</v>
      </c>
    </row>
    <row r="350" spans="1:12"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x14ac:dyDescent="0.3">
      <c r="A383" t="s">
        <v>10</v>
      </c>
      <c r="B383" t="s">
        <v>337</v>
      </c>
      <c r="C383" t="s">
        <v>57</v>
      </c>
      <c r="D383">
        <v>2022</v>
      </c>
      <c r="E383" t="s">
        <v>20</v>
      </c>
      <c r="F383" t="s">
        <v>21</v>
      </c>
      <c r="G383" t="s">
        <v>15</v>
      </c>
      <c r="H383" t="s">
        <v>22</v>
      </c>
      <c r="I383">
        <v>0.114318263</v>
      </c>
      <c r="J383">
        <v>12.8</v>
      </c>
      <c r="K383">
        <v>142.28380000000001</v>
      </c>
      <c r="L383">
        <v>5</v>
      </c>
    </row>
    <row r="384" spans="1:12" x14ac:dyDescent="0.3">
      <c r="A384" t="s">
        <v>10</v>
      </c>
      <c r="B384" t="s">
        <v>393</v>
      </c>
      <c r="C384" t="s">
        <v>28</v>
      </c>
      <c r="D384">
        <v>2022</v>
      </c>
      <c r="E384" t="s">
        <v>20</v>
      </c>
      <c r="F384" t="s">
        <v>21</v>
      </c>
      <c r="G384" t="s">
        <v>15</v>
      </c>
      <c r="H384" t="s">
        <v>22</v>
      </c>
      <c r="I384">
        <v>2.9283080999999999E-2</v>
      </c>
      <c r="J384">
        <v>9.6950000000000003</v>
      </c>
      <c r="K384">
        <v>175.137</v>
      </c>
      <c r="L384">
        <v>5</v>
      </c>
    </row>
    <row r="385" spans="1:12" x14ac:dyDescent="0.3">
      <c r="A385" t="s">
        <v>10</v>
      </c>
      <c r="B385" t="s">
        <v>394</v>
      </c>
      <c r="C385" t="s">
        <v>28</v>
      </c>
      <c r="D385">
        <v>2022</v>
      </c>
      <c r="E385" t="s">
        <v>20</v>
      </c>
      <c r="F385" t="s">
        <v>21</v>
      </c>
      <c r="G385" t="s">
        <v>15</v>
      </c>
      <c r="H385" t="s">
        <v>22</v>
      </c>
      <c r="I385">
        <v>3.0211742E-2</v>
      </c>
      <c r="J385">
        <v>13</v>
      </c>
      <c r="K385">
        <v>59.322000000000003</v>
      </c>
      <c r="L385">
        <v>5</v>
      </c>
    </row>
    <row r="386" spans="1:12" x14ac:dyDescent="0.3">
      <c r="A386" t="s">
        <v>10</v>
      </c>
      <c r="B386" t="s">
        <v>395</v>
      </c>
      <c r="C386" t="s">
        <v>28</v>
      </c>
      <c r="D386">
        <v>2022</v>
      </c>
      <c r="E386" t="s">
        <v>20</v>
      </c>
      <c r="F386" t="s">
        <v>21</v>
      </c>
      <c r="G386" t="s">
        <v>15</v>
      </c>
      <c r="H386" t="s">
        <v>22</v>
      </c>
      <c r="I386">
        <v>0</v>
      </c>
      <c r="J386">
        <v>14.5</v>
      </c>
      <c r="K386">
        <v>41.045400000000001</v>
      </c>
      <c r="L386">
        <v>5</v>
      </c>
    </row>
    <row r="387" spans="1:12" x14ac:dyDescent="0.3">
      <c r="A387" t="s">
        <v>10</v>
      </c>
      <c r="B387" t="s">
        <v>396</v>
      </c>
      <c r="C387" t="s">
        <v>28</v>
      </c>
      <c r="D387">
        <v>2022</v>
      </c>
      <c r="E387" t="s">
        <v>20</v>
      </c>
      <c r="F387" t="s">
        <v>21</v>
      </c>
      <c r="G387" t="s">
        <v>15</v>
      </c>
      <c r="H387" t="s">
        <v>22</v>
      </c>
      <c r="I387">
        <v>0.16209305900000001</v>
      </c>
      <c r="J387">
        <v>15</v>
      </c>
      <c r="K387">
        <v>182.5266</v>
      </c>
      <c r="L387">
        <v>5</v>
      </c>
    </row>
    <row r="388" spans="1:12" x14ac:dyDescent="0.3">
      <c r="A388" t="s">
        <v>10</v>
      </c>
      <c r="B388" t="s">
        <v>397</v>
      </c>
      <c r="C388" t="s">
        <v>67</v>
      </c>
      <c r="D388">
        <v>2022</v>
      </c>
      <c r="E388" t="s">
        <v>20</v>
      </c>
      <c r="F388" t="s">
        <v>21</v>
      </c>
      <c r="G388" t="s">
        <v>15</v>
      </c>
      <c r="H388" t="s">
        <v>22</v>
      </c>
      <c r="I388">
        <v>0.184041545</v>
      </c>
      <c r="J388">
        <v>18.25</v>
      </c>
      <c r="K388">
        <v>110.157</v>
      </c>
      <c r="L388">
        <v>5</v>
      </c>
    </row>
    <row r="389" spans="1:12" x14ac:dyDescent="0.3">
      <c r="A389" t="s">
        <v>10</v>
      </c>
      <c r="B389" t="s">
        <v>398</v>
      </c>
      <c r="C389" t="s">
        <v>24</v>
      </c>
      <c r="D389">
        <v>2022</v>
      </c>
      <c r="E389" t="s">
        <v>20</v>
      </c>
      <c r="F389" t="s">
        <v>21</v>
      </c>
      <c r="G389" t="s">
        <v>15</v>
      </c>
      <c r="H389" t="s">
        <v>22</v>
      </c>
      <c r="I389">
        <v>1.1419301E-2</v>
      </c>
      <c r="J389">
        <v>6.1150000000000002</v>
      </c>
      <c r="K389">
        <v>91.0488</v>
      </c>
      <c r="L389">
        <v>5</v>
      </c>
    </row>
    <row r="390" spans="1:12"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
      <c r="A393" t="s">
        <v>10</v>
      </c>
      <c r="B393" t="s">
        <v>402</v>
      </c>
      <c r="C393" t="s">
        <v>48</v>
      </c>
      <c r="D393">
        <v>2022</v>
      </c>
      <c r="E393" t="s">
        <v>20</v>
      </c>
      <c r="F393" t="s">
        <v>21</v>
      </c>
      <c r="G393" t="s">
        <v>15</v>
      </c>
      <c r="H393" t="s">
        <v>22</v>
      </c>
      <c r="I393">
        <v>9.9792709999999996E-3</v>
      </c>
      <c r="J393">
        <v>14.85</v>
      </c>
      <c r="K393">
        <v>155.76300000000001</v>
      </c>
      <c r="L393">
        <v>5</v>
      </c>
    </row>
    <row r="394" spans="1:12"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x14ac:dyDescent="0.3">
      <c r="A417" t="s">
        <v>10</v>
      </c>
      <c r="B417" t="s">
        <v>419</v>
      </c>
      <c r="C417" t="s">
        <v>95</v>
      </c>
      <c r="D417">
        <v>2018</v>
      </c>
      <c r="E417" t="s">
        <v>45</v>
      </c>
      <c r="F417" t="s">
        <v>21</v>
      </c>
      <c r="G417" t="s">
        <v>15</v>
      </c>
      <c r="H417" t="s">
        <v>46</v>
      </c>
      <c r="I417">
        <v>0</v>
      </c>
      <c r="K417">
        <v>165.58680000000001</v>
      </c>
      <c r="L417">
        <v>5</v>
      </c>
    </row>
    <row r="418" spans="1:12" x14ac:dyDescent="0.3">
      <c r="A418" t="s">
        <v>10</v>
      </c>
      <c r="B418" t="s">
        <v>420</v>
      </c>
      <c r="C418" t="s">
        <v>95</v>
      </c>
      <c r="D418">
        <v>2018</v>
      </c>
      <c r="E418" t="s">
        <v>45</v>
      </c>
      <c r="F418" t="s">
        <v>21</v>
      </c>
      <c r="G418" t="s">
        <v>15</v>
      </c>
      <c r="H418" t="s">
        <v>46</v>
      </c>
      <c r="I418">
        <v>6.2954719999999999E-3</v>
      </c>
      <c r="K418">
        <v>122.4098</v>
      </c>
      <c r="L418">
        <v>5</v>
      </c>
    </row>
    <row r="419" spans="1:12" x14ac:dyDescent="0.3">
      <c r="A419" t="s">
        <v>10</v>
      </c>
      <c r="B419" t="s">
        <v>421</v>
      </c>
      <c r="C419" t="s">
        <v>95</v>
      </c>
      <c r="D419">
        <v>2018</v>
      </c>
      <c r="E419" t="s">
        <v>45</v>
      </c>
      <c r="F419" t="s">
        <v>21</v>
      </c>
      <c r="G419" t="s">
        <v>15</v>
      </c>
      <c r="H419" t="s">
        <v>46</v>
      </c>
      <c r="I419">
        <v>0.13948429200000001</v>
      </c>
      <c r="K419">
        <v>94.311999999999998</v>
      </c>
      <c r="L419">
        <v>5</v>
      </c>
    </row>
    <row r="420" spans="1:12" x14ac:dyDescent="0.3">
      <c r="A420" t="s">
        <v>10</v>
      </c>
      <c r="B420" t="s">
        <v>422</v>
      </c>
      <c r="C420" t="s">
        <v>74</v>
      </c>
      <c r="D420">
        <v>2018</v>
      </c>
      <c r="E420" t="s">
        <v>45</v>
      </c>
      <c r="F420" t="s">
        <v>21</v>
      </c>
      <c r="G420" t="s">
        <v>15</v>
      </c>
      <c r="H420" t="s">
        <v>46</v>
      </c>
      <c r="I420">
        <v>0.15607236099999999</v>
      </c>
      <c r="K420">
        <v>169.34739999999999</v>
      </c>
      <c r="L420">
        <v>5</v>
      </c>
    </row>
    <row r="421" spans="1:12" x14ac:dyDescent="0.3">
      <c r="A421" t="s">
        <v>10</v>
      </c>
      <c r="B421" t="s">
        <v>423</v>
      </c>
      <c r="C421" t="s">
        <v>28</v>
      </c>
      <c r="D421">
        <v>2018</v>
      </c>
      <c r="E421" t="s">
        <v>45</v>
      </c>
      <c r="F421" t="s">
        <v>21</v>
      </c>
      <c r="G421" t="s">
        <v>15</v>
      </c>
      <c r="H421" t="s">
        <v>46</v>
      </c>
      <c r="I421">
        <v>0.102226474</v>
      </c>
      <c r="K421">
        <v>91.311999999999998</v>
      </c>
      <c r="L421">
        <v>5</v>
      </c>
    </row>
    <row r="422" spans="1:12" x14ac:dyDescent="0.3">
      <c r="A422" t="s">
        <v>10</v>
      </c>
      <c r="B422" t="s">
        <v>396</v>
      </c>
      <c r="C422" t="s">
        <v>28</v>
      </c>
      <c r="D422">
        <v>2018</v>
      </c>
      <c r="E422" t="s">
        <v>45</v>
      </c>
      <c r="F422" t="s">
        <v>21</v>
      </c>
      <c r="G422" t="s">
        <v>15</v>
      </c>
      <c r="H422" t="s">
        <v>46</v>
      </c>
      <c r="I422">
        <v>0.16065368199999999</v>
      </c>
      <c r="K422">
        <v>185.22659999999999</v>
      </c>
      <c r="L422">
        <v>5</v>
      </c>
    </row>
    <row r="423" spans="1:12" x14ac:dyDescent="0.3">
      <c r="A423" t="s">
        <v>10</v>
      </c>
      <c r="B423" t="s">
        <v>424</v>
      </c>
      <c r="C423" t="s">
        <v>67</v>
      </c>
      <c r="D423">
        <v>2018</v>
      </c>
      <c r="E423" t="s">
        <v>45</v>
      </c>
      <c r="F423" t="s">
        <v>21</v>
      </c>
      <c r="G423" t="s">
        <v>15</v>
      </c>
      <c r="H423" t="s">
        <v>46</v>
      </c>
      <c r="I423">
        <v>3.7962695999999997E-2</v>
      </c>
      <c r="K423">
        <v>97.572599999999994</v>
      </c>
      <c r="L423">
        <v>5</v>
      </c>
    </row>
    <row r="424" spans="1:12" x14ac:dyDescent="0.3">
      <c r="A424" t="s">
        <v>10</v>
      </c>
      <c r="B424" t="s">
        <v>425</v>
      </c>
      <c r="C424" t="s">
        <v>24</v>
      </c>
      <c r="D424">
        <v>2018</v>
      </c>
      <c r="E424" t="s">
        <v>45</v>
      </c>
      <c r="F424" t="s">
        <v>21</v>
      </c>
      <c r="G424" t="s">
        <v>15</v>
      </c>
      <c r="H424" t="s">
        <v>46</v>
      </c>
      <c r="I424">
        <v>9.0473389000000001E-2</v>
      </c>
      <c r="K424">
        <v>229.79839999999999</v>
      </c>
      <c r="L424">
        <v>5</v>
      </c>
    </row>
    <row r="425" spans="1:12" x14ac:dyDescent="0.3">
      <c r="A425" t="s">
        <v>10</v>
      </c>
      <c r="B425" t="s">
        <v>426</v>
      </c>
      <c r="C425" t="s">
        <v>12</v>
      </c>
      <c r="D425">
        <v>2018</v>
      </c>
      <c r="E425" t="s">
        <v>45</v>
      </c>
      <c r="F425" t="s">
        <v>21</v>
      </c>
      <c r="G425" t="s">
        <v>15</v>
      </c>
      <c r="H425" t="s">
        <v>46</v>
      </c>
      <c r="I425">
        <v>0.14433849300000001</v>
      </c>
      <c r="K425">
        <v>172.108</v>
      </c>
      <c r="L425">
        <v>5</v>
      </c>
    </row>
    <row r="426" spans="1:12" x14ac:dyDescent="0.3">
      <c r="A426" t="s">
        <v>10</v>
      </c>
      <c r="B426" t="s">
        <v>427</v>
      </c>
      <c r="C426" t="s">
        <v>12</v>
      </c>
      <c r="D426">
        <v>2018</v>
      </c>
      <c r="E426" t="s">
        <v>45</v>
      </c>
      <c r="F426" t="s">
        <v>21</v>
      </c>
      <c r="G426" t="s">
        <v>15</v>
      </c>
      <c r="H426" t="s">
        <v>46</v>
      </c>
      <c r="I426">
        <v>3.8313980999999997E-2</v>
      </c>
      <c r="K426">
        <v>109.95699999999999</v>
      </c>
      <c r="L426">
        <v>5</v>
      </c>
    </row>
    <row r="427" spans="1:12" x14ac:dyDescent="0.3">
      <c r="A427" t="s">
        <v>10</v>
      </c>
      <c r="B427" t="s">
        <v>428</v>
      </c>
      <c r="C427" t="s">
        <v>54</v>
      </c>
      <c r="D427">
        <v>2018</v>
      </c>
      <c r="E427" t="s">
        <v>45</v>
      </c>
      <c r="F427" t="s">
        <v>21</v>
      </c>
      <c r="G427" t="s">
        <v>15</v>
      </c>
      <c r="H427" t="s">
        <v>46</v>
      </c>
      <c r="I427">
        <v>0.17262968300000001</v>
      </c>
      <c r="K427">
        <v>148.4708</v>
      </c>
      <c r="L427">
        <v>5</v>
      </c>
    </row>
    <row r="428" spans="1:12" x14ac:dyDescent="0.3">
      <c r="A428" t="s">
        <v>10</v>
      </c>
      <c r="B428" t="s">
        <v>261</v>
      </c>
      <c r="C428" t="s">
        <v>48</v>
      </c>
      <c r="D428">
        <v>2018</v>
      </c>
      <c r="E428" t="s">
        <v>45</v>
      </c>
      <c r="F428" t="s">
        <v>21</v>
      </c>
      <c r="G428" t="s">
        <v>15</v>
      </c>
      <c r="H428" t="s">
        <v>46</v>
      </c>
      <c r="I428">
        <v>1.0928678000000001E-2</v>
      </c>
      <c r="K428">
        <v>167.08420000000001</v>
      </c>
      <c r="L428">
        <v>5</v>
      </c>
    </row>
    <row r="429" spans="1:12"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x14ac:dyDescent="0.3">
      <c r="A446" t="s">
        <v>10</v>
      </c>
      <c r="B446" t="s">
        <v>441</v>
      </c>
      <c r="C446" t="s">
        <v>24</v>
      </c>
      <c r="D446">
        <v>2011</v>
      </c>
      <c r="E446" t="s">
        <v>39</v>
      </c>
      <c r="F446" t="s">
        <v>21</v>
      </c>
      <c r="G446" t="s">
        <v>26</v>
      </c>
      <c r="H446" t="s">
        <v>40</v>
      </c>
      <c r="I446">
        <v>0.13497562799999999</v>
      </c>
      <c r="J446">
        <v>13.65</v>
      </c>
      <c r="K446">
        <v>260.09359999999998</v>
      </c>
      <c r="L446">
        <v>4.8</v>
      </c>
    </row>
    <row r="447" spans="1:12" x14ac:dyDescent="0.3">
      <c r="A447" t="s">
        <v>10</v>
      </c>
      <c r="B447" t="s">
        <v>442</v>
      </c>
      <c r="C447" t="s">
        <v>24</v>
      </c>
      <c r="D447">
        <v>2022</v>
      </c>
      <c r="E447" t="s">
        <v>20</v>
      </c>
      <c r="F447" t="s">
        <v>21</v>
      </c>
      <c r="G447" t="s">
        <v>15</v>
      </c>
      <c r="H447" t="s">
        <v>22</v>
      </c>
      <c r="I447">
        <v>7.6354361999999995E-2</v>
      </c>
      <c r="J447">
        <v>12.65</v>
      </c>
      <c r="K447">
        <v>192.18459999999999</v>
      </c>
      <c r="L447">
        <v>4.8</v>
      </c>
    </row>
    <row r="448" spans="1:12"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x14ac:dyDescent="0.3">
      <c r="A457" t="s">
        <v>10</v>
      </c>
      <c r="B457" t="s">
        <v>432</v>
      </c>
      <c r="C457" t="s">
        <v>12</v>
      </c>
      <c r="D457">
        <v>2012</v>
      </c>
      <c r="E457" t="s">
        <v>13</v>
      </c>
      <c r="F457" t="s">
        <v>14</v>
      </c>
      <c r="G457" t="s">
        <v>15</v>
      </c>
      <c r="H457" t="s">
        <v>16</v>
      </c>
      <c r="I457">
        <v>5.5391140000000004E-3</v>
      </c>
      <c r="J457">
        <v>11.35</v>
      </c>
      <c r="K457">
        <v>167.87899999999999</v>
      </c>
      <c r="L457">
        <v>4.8</v>
      </c>
    </row>
    <row r="458" spans="1:12"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x14ac:dyDescent="0.3">
      <c r="A463" t="s">
        <v>10</v>
      </c>
      <c r="B463" t="s">
        <v>456</v>
      </c>
      <c r="C463" t="s">
        <v>67</v>
      </c>
      <c r="D463">
        <v>2018</v>
      </c>
      <c r="E463" t="s">
        <v>138</v>
      </c>
      <c r="F463" t="s">
        <v>14</v>
      </c>
      <c r="G463" t="s">
        <v>26</v>
      </c>
      <c r="H463" t="s">
        <v>40</v>
      </c>
      <c r="I463">
        <v>6.6006824000000006E-2</v>
      </c>
      <c r="K463">
        <v>126.2704</v>
      </c>
      <c r="L463">
        <v>4.8</v>
      </c>
    </row>
    <row r="464" spans="1:12" x14ac:dyDescent="0.3">
      <c r="A464" t="s">
        <v>10</v>
      </c>
      <c r="B464" t="s">
        <v>457</v>
      </c>
      <c r="C464" t="s">
        <v>54</v>
      </c>
      <c r="D464">
        <v>2018</v>
      </c>
      <c r="E464" t="s">
        <v>138</v>
      </c>
      <c r="F464" t="s">
        <v>14</v>
      </c>
      <c r="G464" t="s">
        <v>26</v>
      </c>
      <c r="H464" t="s">
        <v>40</v>
      </c>
      <c r="I464">
        <v>5.8545606E-2</v>
      </c>
      <c r="K464">
        <v>155.8314</v>
      </c>
      <c r="L464">
        <v>4.8</v>
      </c>
    </row>
    <row r="465" spans="1:12"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x14ac:dyDescent="0.3">
      <c r="A468" t="s">
        <v>10</v>
      </c>
      <c r="B468" t="s">
        <v>461</v>
      </c>
      <c r="C468" t="s">
        <v>12</v>
      </c>
      <c r="D468">
        <v>2016</v>
      </c>
      <c r="E468" t="s">
        <v>25</v>
      </c>
      <c r="F468" t="s">
        <v>14</v>
      </c>
      <c r="G468" t="s">
        <v>26</v>
      </c>
      <c r="H468" t="s">
        <v>16</v>
      </c>
      <c r="I468">
        <v>0.161504957</v>
      </c>
      <c r="J468">
        <v>21.1</v>
      </c>
      <c r="K468">
        <v>65.016800000000003</v>
      </c>
      <c r="L468">
        <v>4.8</v>
      </c>
    </row>
    <row r="469" spans="1:12" x14ac:dyDescent="0.3">
      <c r="A469" t="s">
        <v>10</v>
      </c>
      <c r="B469" t="s">
        <v>462</v>
      </c>
      <c r="C469" t="s">
        <v>48</v>
      </c>
      <c r="D469">
        <v>2016</v>
      </c>
      <c r="E469" t="s">
        <v>25</v>
      </c>
      <c r="F469" t="s">
        <v>14</v>
      </c>
      <c r="G469" t="s">
        <v>26</v>
      </c>
      <c r="H469" t="s">
        <v>16</v>
      </c>
      <c r="I469">
        <v>1.0917052E-2</v>
      </c>
      <c r="J469">
        <v>9.5</v>
      </c>
      <c r="K469">
        <v>185.36080000000001</v>
      </c>
      <c r="L469">
        <v>4.8</v>
      </c>
    </row>
    <row r="470" spans="1:12"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x14ac:dyDescent="0.3">
      <c r="A479" t="s">
        <v>10</v>
      </c>
      <c r="B479" t="s">
        <v>336</v>
      </c>
      <c r="C479" t="s">
        <v>95</v>
      </c>
      <c r="D479">
        <v>2015</v>
      </c>
      <c r="E479" t="s">
        <v>33</v>
      </c>
      <c r="F479" t="s">
        <v>34</v>
      </c>
      <c r="G479" t="s">
        <v>30</v>
      </c>
      <c r="H479" t="s">
        <v>16</v>
      </c>
      <c r="I479">
        <v>0.12852018600000001</v>
      </c>
      <c r="J479">
        <v>14.5</v>
      </c>
      <c r="K479">
        <v>101.4332</v>
      </c>
      <c r="L479">
        <v>4.8</v>
      </c>
    </row>
    <row r="480" spans="1:12" x14ac:dyDescent="0.3">
      <c r="A480" t="s">
        <v>10</v>
      </c>
      <c r="B480" t="s">
        <v>268</v>
      </c>
      <c r="C480" t="s">
        <v>28</v>
      </c>
      <c r="D480">
        <v>2015</v>
      </c>
      <c r="E480" t="s">
        <v>33</v>
      </c>
      <c r="F480" t="s">
        <v>34</v>
      </c>
      <c r="G480" t="s">
        <v>30</v>
      </c>
      <c r="H480" t="s">
        <v>16</v>
      </c>
      <c r="I480">
        <v>0.15380627099999999</v>
      </c>
      <c r="J480">
        <v>7.84</v>
      </c>
      <c r="K480">
        <v>51.335000000000001</v>
      </c>
      <c r="L480">
        <v>4.8</v>
      </c>
    </row>
    <row r="481" spans="1:12"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x14ac:dyDescent="0.3">
      <c r="A494" t="s">
        <v>10</v>
      </c>
      <c r="B494" t="s">
        <v>480</v>
      </c>
      <c r="C494" t="s">
        <v>57</v>
      </c>
      <c r="D494">
        <v>2014</v>
      </c>
      <c r="E494" t="s">
        <v>29</v>
      </c>
      <c r="F494" t="s">
        <v>21</v>
      </c>
      <c r="G494" t="s">
        <v>30</v>
      </c>
      <c r="H494" t="s">
        <v>16</v>
      </c>
      <c r="I494">
        <v>0.142419608</v>
      </c>
      <c r="J494">
        <v>10.5</v>
      </c>
      <c r="K494">
        <v>161.15780000000001</v>
      </c>
      <c r="L494">
        <v>4.8</v>
      </c>
    </row>
    <row r="495" spans="1:12" x14ac:dyDescent="0.3">
      <c r="A495" t="s">
        <v>10</v>
      </c>
      <c r="B495" t="s">
        <v>481</v>
      </c>
      <c r="C495" t="s">
        <v>32</v>
      </c>
      <c r="D495">
        <v>2014</v>
      </c>
      <c r="E495" t="s">
        <v>29</v>
      </c>
      <c r="F495" t="s">
        <v>21</v>
      </c>
      <c r="G495" t="s">
        <v>30</v>
      </c>
      <c r="H495" t="s">
        <v>16</v>
      </c>
      <c r="I495">
        <v>1.9184026E-2</v>
      </c>
      <c r="J495">
        <v>5.92</v>
      </c>
      <c r="K495">
        <v>50.369199999999999</v>
      </c>
      <c r="L495">
        <v>4.8</v>
      </c>
    </row>
    <row r="496" spans="1:12"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x14ac:dyDescent="0.3">
      <c r="A501" t="s">
        <v>10</v>
      </c>
      <c r="B501" t="s">
        <v>486</v>
      </c>
      <c r="C501" t="s">
        <v>12</v>
      </c>
      <c r="D501">
        <v>2022</v>
      </c>
      <c r="E501" t="s">
        <v>20</v>
      </c>
      <c r="F501" t="s">
        <v>21</v>
      </c>
      <c r="G501" t="s">
        <v>15</v>
      </c>
      <c r="H501" t="s">
        <v>22</v>
      </c>
      <c r="I501">
        <v>2.8238316999999999E-2</v>
      </c>
      <c r="J501">
        <v>20</v>
      </c>
      <c r="K501">
        <v>46.374400000000001</v>
      </c>
      <c r="L501">
        <v>4.8</v>
      </c>
    </row>
    <row r="502" spans="1:12" x14ac:dyDescent="0.3">
      <c r="A502" t="s">
        <v>10</v>
      </c>
      <c r="B502" t="s">
        <v>487</v>
      </c>
      <c r="C502" t="s">
        <v>48</v>
      </c>
      <c r="D502">
        <v>2022</v>
      </c>
      <c r="E502" t="s">
        <v>20</v>
      </c>
      <c r="F502" t="s">
        <v>21</v>
      </c>
      <c r="G502" t="s">
        <v>15</v>
      </c>
      <c r="H502" t="s">
        <v>22</v>
      </c>
      <c r="I502">
        <v>0</v>
      </c>
      <c r="J502">
        <v>6.67</v>
      </c>
      <c r="K502">
        <v>90.551400000000001</v>
      </c>
      <c r="L502">
        <v>4.8</v>
      </c>
    </row>
    <row r="503" spans="1:12" x14ac:dyDescent="0.3">
      <c r="A503" t="s">
        <v>10</v>
      </c>
      <c r="B503" t="s">
        <v>488</v>
      </c>
      <c r="C503" t="s">
        <v>12</v>
      </c>
      <c r="D503">
        <v>2018</v>
      </c>
      <c r="E503" t="s">
        <v>45</v>
      </c>
      <c r="F503" t="s">
        <v>21</v>
      </c>
      <c r="G503" t="s">
        <v>15</v>
      </c>
      <c r="H503" t="s">
        <v>46</v>
      </c>
      <c r="I503">
        <v>4.8738406999999997E-2</v>
      </c>
      <c r="K503">
        <v>152.8682</v>
      </c>
      <c r="L503">
        <v>4.8</v>
      </c>
    </row>
    <row r="504" spans="1:12" x14ac:dyDescent="0.3">
      <c r="A504" t="s">
        <v>10</v>
      </c>
      <c r="B504" t="s">
        <v>489</v>
      </c>
      <c r="C504" t="s">
        <v>54</v>
      </c>
      <c r="D504">
        <v>2018</v>
      </c>
      <c r="E504" t="s">
        <v>45</v>
      </c>
      <c r="F504" t="s">
        <v>21</v>
      </c>
      <c r="G504" t="s">
        <v>15</v>
      </c>
      <c r="H504" t="s">
        <v>46</v>
      </c>
      <c r="I504">
        <v>3.670437E-2</v>
      </c>
      <c r="K504">
        <v>228.1352</v>
      </c>
      <c r="L504">
        <v>4.8</v>
      </c>
    </row>
    <row r="505" spans="1:12"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x14ac:dyDescent="0.3">
      <c r="A517" t="s">
        <v>10</v>
      </c>
      <c r="B517" t="s">
        <v>154</v>
      </c>
      <c r="C517" t="s">
        <v>74</v>
      </c>
      <c r="D517">
        <v>2012</v>
      </c>
      <c r="E517" t="s">
        <v>13</v>
      </c>
      <c r="F517" t="s">
        <v>14</v>
      </c>
      <c r="G517" t="s">
        <v>15</v>
      </c>
      <c r="H517" t="s">
        <v>16</v>
      </c>
      <c r="I517">
        <v>5.6406128999999999E-2</v>
      </c>
      <c r="J517">
        <v>13.85</v>
      </c>
      <c r="K517">
        <v>231.43</v>
      </c>
      <c r="L517">
        <v>4.7</v>
      </c>
    </row>
    <row r="518" spans="1:12" x14ac:dyDescent="0.3">
      <c r="A518" t="s">
        <v>10</v>
      </c>
      <c r="B518" t="s">
        <v>160</v>
      </c>
      <c r="C518" t="s">
        <v>28</v>
      </c>
      <c r="D518">
        <v>2012</v>
      </c>
      <c r="E518" t="s">
        <v>13</v>
      </c>
      <c r="F518" t="s">
        <v>14</v>
      </c>
      <c r="G518" t="s">
        <v>15</v>
      </c>
      <c r="H518" t="s">
        <v>16</v>
      </c>
      <c r="I518">
        <v>8.2044649999999993E-3</v>
      </c>
      <c r="J518">
        <v>16.75</v>
      </c>
      <c r="K518">
        <v>99.867400000000004</v>
      </c>
      <c r="L518">
        <v>4.7</v>
      </c>
    </row>
    <row r="519" spans="1:12"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
      <c r="A520" t="s">
        <v>10</v>
      </c>
      <c r="B520" t="s">
        <v>500</v>
      </c>
      <c r="C520" t="s">
        <v>24</v>
      </c>
      <c r="D520">
        <v>2012</v>
      </c>
      <c r="E520" t="s">
        <v>13</v>
      </c>
      <c r="F520" t="s">
        <v>14</v>
      </c>
      <c r="G520" t="s">
        <v>15</v>
      </c>
      <c r="H520" t="s">
        <v>16</v>
      </c>
      <c r="I520">
        <v>0</v>
      </c>
      <c r="J520">
        <v>9.5</v>
      </c>
      <c r="K520">
        <v>228.46680000000001</v>
      </c>
      <c r="L520">
        <v>4.7</v>
      </c>
    </row>
    <row r="521" spans="1:12" x14ac:dyDescent="0.3">
      <c r="A521" t="s">
        <v>10</v>
      </c>
      <c r="B521" t="s">
        <v>365</v>
      </c>
      <c r="C521" t="s">
        <v>48</v>
      </c>
      <c r="D521">
        <v>2012</v>
      </c>
      <c r="E521" t="s">
        <v>13</v>
      </c>
      <c r="F521" t="s">
        <v>14</v>
      </c>
      <c r="G521" t="s">
        <v>15</v>
      </c>
      <c r="H521" t="s">
        <v>16</v>
      </c>
      <c r="I521">
        <v>1.4234594999999999E-2</v>
      </c>
      <c r="J521">
        <v>9.6</v>
      </c>
      <c r="K521">
        <v>190.28720000000001</v>
      </c>
      <c r="L521">
        <v>4.7</v>
      </c>
    </row>
    <row r="522" spans="1:12"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x14ac:dyDescent="0.3">
      <c r="A525" t="s">
        <v>10</v>
      </c>
      <c r="B525" t="s">
        <v>503</v>
      </c>
      <c r="C525" t="s">
        <v>24</v>
      </c>
      <c r="D525">
        <v>2018</v>
      </c>
      <c r="E525" t="s">
        <v>138</v>
      </c>
      <c r="F525" t="s">
        <v>14</v>
      </c>
      <c r="G525" t="s">
        <v>26</v>
      </c>
      <c r="H525" t="s">
        <v>40</v>
      </c>
      <c r="I525">
        <v>7.6868664000000003E-2</v>
      </c>
      <c r="K525">
        <v>62.119399999999999</v>
      </c>
      <c r="L525">
        <v>4.7</v>
      </c>
    </row>
    <row r="526" spans="1:12"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512</v>
      </c>
      <c r="C535" t="s">
        <v>67</v>
      </c>
      <c r="D535">
        <v>2016</v>
      </c>
      <c r="E535" t="s">
        <v>25</v>
      </c>
      <c r="F535" t="s">
        <v>14</v>
      </c>
      <c r="G535" t="s">
        <v>26</v>
      </c>
      <c r="H535" t="s">
        <v>16</v>
      </c>
      <c r="I535">
        <v>0</v>
      </c>
      <c r="J535">
        <v>11.5</v>
      </c>
      <c r="K535">
        <v>88.254000000000005</v>
      </c>
      <c r="L535">
        <v>4.7</v>
      </c>
    </row>
    <row r="536" spans="1:12" x14ac:dyDescent="0.3">
      <c r="A536" t="s">
        <v>10</v>
      </c>
      <c r="B536" t="s">
        <v>513</v>
      </c>
      <c r="C536" t="s">
        <v>24</v>
      </c>
      <c r="D536">
        <v>2016</v>
      </c>
      <c r="E536" t="s">
        <v>25</v>
      </c>
      <c r="F536" t="s">
        <v>14</v>
      </c>
      <c r="G536" t="s">
        <v>26</v>
      </c>
      <c r="H536" t="s">
        <v>16</v>
      </c>
      <c r="I536">
        <v>3.0247903E-2</v>
      </c>
      <c r="J536">
        <v>5.88</v>
      </c>
      <c r="K536">
        <v>101.399</v>
      </c>
      <c r="L536">
        <v>4.7</v>
      </c>
    </row>
    <row r="537" spans="1:12" x14ac:dyDescent="0.3">
      <c r="A537" t="s">
        <v>10</v>
      </c>
      <c r="B537" t="s">
        <v>316</v>
      </c>
      <c r="C537" t="s">
        <v>54</v>
      </c>
      <c r="D537">
        <v>2016</v>
      </c>
      <c r="E537" t="s">
        <v>25</v>
      </c>
      <c r="F537" t="s">
        <v>14</v>
      </c>
      <c r="G537" t="s">
        <v>26</v>
      </c>
      <c r="H537" t="s">
        <v>16</v>
      </c>
      <c r="I537">
        <v>2.4541277E-2</v>
      </c>
      <c r="J537">
        <v>5.63</v>
      </c>
      <c r="K537">
        <v>105.1306</v>
      </c>
      <c r="L537">
        <v>4.7</v>
      </c>
    </row>
    <row r="538" spans="1:12"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
      <c r="A547" t="s">
        <v>10</v>
      </c>
      <c r="B547" t="s">
        <v>402</v>
      </c>
      <c r="C547" t="s">
        <v>48</v>
      </c>
      <c r="D547">
        <v>2015</v>
      </c>
      <c r="E547" t="s">
        <v>33</v>
      </c>
      <c r="F547" t="s">
        <v>34</v>
      </c>
      <c r="G547" t="s">
        <v>30</v>
      </c>
      <c r="H547" t="s">
        <v>16</v>
      </c>
      <c r="I547">
        <v>9.9589410000000007E-3</v>
      </c>
      <c r="J547">
        <v>14.85</v>
      </c>
      <c r="K547">
        <v>157.96299999999999</v>
      </c>
      <c r="L547">
        <v>4.7</v>
      </c>
    </row>
    <row r="548" spans="1:12"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
      <c r="A555" t="s">
        <v>10</v>
      </c>
      <c r="B555" t="s">
        <v>425</v>
      </c>
      <c r="C555" t="s">
        <v>24</v>
      </c>
      <c r="D555">
        <v>2017</v>
      </c>
      <c r="E555" t="s">
        <v>50</v>
      </c>
      <c r="F555" t="s">
        <v>34</v>
      </c>
      <c r="G555" t="s">
        <v>26</v>
      </c>
      <c r="H555" t="s">
        <v>16</v>
      </c>
      <c r="I555">
        <v>9.0896452000000003E-2</v>
      </c>
      <c r="J555">
        <v>14.35</v>
      </c>
      <c r="K555">
        <v>231.29839999999999</v>
      </c>
      <c r="L555">
        <v>4.7</v>
      </c>
    </row>
    <row r="556" spans="1:12" x14ac:dyDescent="0.3">
      <c r="A556" t="s">
        <v>10</v>
      </c>
      <c r="B556" t="s">
        <v>524</v>
      </c>
      <c r="C556" t="s">
        <v>24</v>
      </c>
      <c r="D556">
        <v>2017</v>
      </c>
      <c r="E556" t="s">
        <v>50</v>
      </c>
      <c r="F556" t="s">
        <v>34</v>
      </c>
      <c r="G556" t="s">
        <v>26</v>
      </c>
      <c r="H556" t="s">
        <v>16</v>
      </c>
      <c r="I556">
        <v>6.2245149E-2</v>
      </c>
      <c r="J556">
        <v>18.5</v>
      </c>
      <c r="K556">
        <v>145.84180000000001</v>
      </c>
      <c r="L556">
        <v>4.7</v>
      </c>
    </row>
    <row r="557" spans="1:12" x14ac:dyDescent="0.3">
      <c r="A557" t="s">
        <v>10</v>
      </c>
      <c r="B557" t="s">
        <v>361</v>
      </c>
      <c r="C557" t="s">
        <v>12</v>
      </c>
      <c r="D557">
        <v>2017</v>
      </c>
      <c r="E557" t="s">
        <v>50</v>
      </c>
      <c r="F557" t="s">
        <v>34</v>
      </c>
      <c r="G557" t="s">
        <v>26</v>
      </c>
      <c r="H557" t="s">
        <v>16</v>
      </c>
      <c r="I557">
        <v>0.15209903299999999</v>
      </c>
      <c r="J557">
        <v>12.85</v>
      </c>
      <c r="K557">
        <v>252.63820000000001</v>
      </c>
      <c r="L557">
        <v>4.7</v>
      </c>
    </row>
    <row r="558" spans="1:12"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x14ac:dyDescent="0.3">
      <c r="A576" t="s">
        <v>10</v>
      </c>
      <c r="B576" t="s">
        <v>423</v>
      </c>
      <c r="C576" t="s">
        <v>28</v>
      </c>
      <c r="D576">
        <v>2022</v>
      </c>
      <c r="E576" t="s">
        <v>20</v>
      </c>
      <c r="F576" t="s">
        <v>21</v>
      </c>
      <c r="G576" t="s">
        <v>15</v>
      </c>
      <c r="H576" t="s">
        <v>22</v>
      </c>
      <c r="I576">
        <v>0.103142373</v>
      </c>
      <c r="J576">
        <v>20.25</v>
      </c>
      <c r="K576">
        <v>94.611999999999995</v>
      </c>
      <c r="L576">
        <v>4.7</v>
      </c>
    </row>
    <row r="577" spans="1:12" x14ac:dyDescent="0.3">
      <c r="A577" t="s">
        <v>10</v>
      </c>
      <c r="B577" t="s">
        <v>259</v>
      </c>
      <c r="C577" t="s">
        <v>48</v>
      </c>
      <c r="D577">
        <v>2022</v>
      </c>
      <c r="E577" t="s">
        <v>20</v>
      </c>
      <c r="F577" t="s">
        <v>21</v>
      </c>
      <c r="G577" t="s">
        <v>15</v>
      </c>
      <c r="H577" t="s">
        <v>22</v>
      </c>
      <c r="I577">
        <v>2.9129907E-2</v>
      </c>
      <c r="J577">
        <v>6.61</v>
      </c>
      <c r="K577">
        <v>188.4898</v>
      </c>
      <c r="L577">
        <v>4.7</v>
      </c>
    </row>
    <row r="578" spans="1:12"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
      <c r="A600" t="s">
        <v>10</v>
      </c>
      <c r="B600" t="s">
        <v>554</v>
      </c>
      <c r="C600" t="s">
        <v>67</v>
      </c>
      <c r="D600">
        <v>2018</v>
      </c>
      <c r="E600" t="s">
        <v>138</v>
      </c>
      <c r="F600" t="s">
        <v>14</v>
      </c>
      <c r="G600" t="s">
        <v>26</v>
      </c>
      <c r="H600" t="s">
        <v>40</v>
      </c>
      <c r="I600">
        <v>0.187443314</v>
      </c>
      <c r="K600">
        <v>220.47720000000001</v>
      </c>
      <c r="L600">
        <v>4.5999999999999996</v>
      </c>
    </row>
    <row r="601" spans="1:12"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
      <c r="A608" t="s">
        <v>10</v>
      </c>
      <c r="B608" t="s">
        <v>558</v>
      </c>
      <c r="C608" t="s">
        <v>67</v>
      </c>
      <c r="D608">
        <v>2016</v>
      </c>
      <c r="E608" t="s">
        <v>25</v>
      </c>
      <c r="F608" t="s">
        <v>14</v>
      </c>
      <c r="G608" t="s">
        <v>26</v>
      </c>
      <c r="H608" t="s">
        <v>16</v>
      </c>
      <c r="I608">
        <v>1.4793357E-2</v>
      </c>
      <c r="J608">
        <v>20.25</v>
      </c>
      <c r="K608">
        <v>191.5162</v>
      </c>
      <c r="L608">
        <v>4.5999999999999996</v>
      </c>
    </row>
    <row r="609" spans="1:12"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
      <c r="A627" t="s">
        <v>10</v>
      </c>
      <c r="B627" t="s">
        <v>572</v>
      </c>
      <c r="C627" t="s">
        <v>32</v>
      </c>
      <c r="D627">
        <v>2015</v>
      </c>
      <c r="E627" t="s">
        <v>33</v>
      </c>
      <c r="F627" t="s">
        <v>34</v>
      </c>
      <c r="G627" t="s">
        <v>30</v>
      </c>
      <c r="H627" t="s">
        <v>16</v>
      </c>
      <c r="I627">
        <v>0</v>
      </c>
      <c r="J627">
        <v>8.26</v>
      </c>
      <c r="K627">
        <v>122.57299999999999</v>
      </c>
      <c r="L627">
        <v>4.5999999999999996</v>
      </c>
    </row>
    <row r="628" spans="1:12"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
      <c r="A642" t="s">
        <v>10</v>
      </c>
      <c r="B642" t="s">
        <v>581</v>
      </c>
      <c r="C642" t="s">
        <v>12</v>
      </c>
      <c r="D642">
        <v>2017</v>
      </c>
      <c r="E642" t="s">
        <v>50</v>
      </c>
      <c r="F642" t="s">
        <v>34</v>
      </c>
      <c r="G642" t="s">
        <v>26</v>
      </c>
      <c r="H642" t="s">
        <v>16</v>
      </c>
      <c r="I642">
        <v>0.11557055199999999</v>
      </c>
      <c r="J642">
        <v>16</v>
      </c>
      <c r="K642">
        <v>57.5246</v>
      </c>
      <c r="L642">
        <v>4.5999999999999996</v>
      </c>
    </row>
    <row r="643" spans="1:12"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x14ac:dyDescent="0.3">
      <c r="A681" t="s">
        <v>10</v>
      </c>
      <c r="B681" t="s">
        <v>272</v>
      </c>
      <c r="C681" t="s">
        <v>12</v>
      </c>
      <c r="D681">
        <v>2018</v>
      </c>
      <c r="E681" t="s">
        <v>45</v>
      </c>
      <c r="F681" t="s">
        <v>21</v>
      </c>
      <c r="G681" t="s">
        <v>15</v>
      </c>
      <c r="H681" t="s">
        <v>46</v>
      </c>
      <c r="I681">
        <v>0.15842451599999999</v>
      </c>
      <c r="K681">
        <v>62.419400000000003</v>
      </c>
      <c r="L681">
        <v>4.5999999999999996</v>
      </c>
    </row>
    <row r="682" spans="1:12" x14ac:dyDescent="0.3">
      <c r="A682" t="s">
        <v>10</v>
      </c>
      <c r="B682" t="s">
        <v>606</v>
      </c>
      <c r="C682" t="s">
        <v>12</v>
      </c>
      <c r="D682">
        <v>2018</v>
      </c>
      <c r="E682" t="s">
        <v>45</v>
      </c>
      <c r="F682" t="s">
        <v>21</v>
      </c>
      <c r="G682" t="s">
        <v>15</v>
      </c>
      <c r="H682" t="s">
        <v>46</v>
      </c>
      <c r="I682">
        <v>4.3978369000000003E-2</v>
      </c>
      <c r="K682">
        <v>178.43180000000001</v>
      </c>
      <c r="L682">
        <v>4.5999999999999996</v>
      </c>
    </row>
    <row r="683" spans="1:12" x14ac:dyDescent="0.3">
      <c r="A683" t="s">
        <v>10</v>
      </c>
      <c r="B683" t="s">
        <v>607</v>
      </c>
      <c r="C683" t="s">
        <v>54</v>
      </c>
      <c r="D683">
        <v>2018</v>
      </c>
      <c r="E683" t="s">
        <v>45</v>
      </c>
      <c r="F683" t="s">
        <v>21</v>
      </c>
      <c r="G683" t="s">
        <v>15</v>
      </c>
      <c r="H683" t="s">
        <v>46</v>
      </c>
      <c r="I683">
        <v>3.6731658E-2</v>
      </c>
      <c r="K683">
        <v>177.23699999999999</v>
      </c>
      <c r="L683">
        <v>4.5999999999999996</v>
      </c>
    </row>
    <row r="684" spans="1:12"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647</v>
      </c>
      <c r="C739" t="s">
        <v>28</v>
      </c>
      <c r="D739">
        <v>2012</v>
      </c>
      <c r="E739" t="s">
        <v>13</v>
      </c>
      <c r="F739" t="s">
        <v>14</v>
      </c>
      <c r="G739" t="s">
        <v>15</v>
      </c>
      <c r="H739" t="s">
        <v>16</v>
      </c>
      <c r="I739">
        <v>0.160951491</v>
      </c>
      <c r="J739">
        <v>19.7</v>
      </c>
      <c r="K739">
        <v>256.10140000000001</v>
      </c>
      <c r="L739">
        <v>4.5</v>
      </c>
    </row>
    <row r="740" spans="1:12" x14ac:dyDescent="0.3">
      <c r="A740" t="s">
        <v>10</v>
      </c>
      <c r="B740" t="s">
        <v>554</v>
      </c>
      <c r="C740" t="s">
        <v>67</v>
      </c>
      <c r="D740">
        <v>2012</v>
      </c>
      <c r="E740" t="s">
        <v>13</v>
      </c>
      <c r="F740" t="s">
        <v>14</v>
      </c>
      <c r="G740" t="s">
        <v>15</v>
      </c>
      <c r="H740" t="s">
        <v>16</v>
      </c>
      <c r="I740">
        <v>0.107223632</v>
      </c>
      <c r="J740">
        <v>11.8</v>
      </c>
      <c r="K740">
        <v>223.5772</v>
      </c>
      <c r="L740">
        <v>4.5</v>
      </c>
    </row>
    <row r="741" spans="1:12" x14ac:dyDescent="0.3">
      <c r="A741" t="s">
        <v>10</v>
      </c>
      <c r="B741" t="s">
        <v>648</v>
      </c>
      <c r="C741" t="s">
        <v>24</v>
      </c>
      <c r="D741">
        <v>2012</v>
      </c>
      <c r="E741" t="s">
        <v>13</v>
      </c>
      <c r="F741" t="s">
        <v>14</v>
      </c>
      <c r="G741" t="s">
        <v>15</v>
      </c>
      <c r="H741" t="s">
        <v>16</v>
      </c>
      <c r="I741">
        <v>0.127066966</v>
      </c>
      <c r="J741">
        <v>8.35</v>
      </c>
      <c r="K741">
        <v>76.535399999999996</v>
      </c>
      <c r="L741">
        <v>4.5</v>
      </c>
    </row>
    <row r="742" spans="1:12"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426</v>
      </c>
      <c r="C743" t="s">
        <v>12</v>
      </c>
      <c r="D743">
        <v>2012</v>
      </c>
      <c r="E743" t="s">
        <v>13</v>
      </c>
      <c r="F743" t="s">
        <v>14</v>
      </c>
      <c r="G743" t="s">
        <v>15</v>
      </c>
      <c r="H743" t="s">
        <v>16</v>
      </c>
      <c r="I743">
        <v>0.14526636000000001</v>
      </c>
      <c r="J743">
        <v>7.59</v>
      </c>
      <c r="K743">
        <v>172.90799999999999</v>
      </c>
      <c r="L743">
        <v>4.5</v>
      </c>
    </row>
    <row r="744" spans="1:12"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x14ac:dyDescent="0.3">
      <c r="A758" t="s">
        <v>10</v>
      </c>
      <c r="B758" t="s">
        <v>319</v>
      </c>
      <c r="C758" t="s">
        <v>48</v>
      </c>
      <c r="D758">
        <v>2018</v>
      </c>
      <c r="E758" t="s">
        <v>138</v>
      </c>
      <c r="F758" t="s">
        <v>14</v>
      </c>
      <c r="G758" t="s">
        <v>26</v>
      </c>
      <c r="H758" t="s">
        <v>40</v>
      </c>
      <c r="I758">
        <v>0.184359831</v>
      </c>
      <c r="K758">
        <v>172.6764</v>
      </c>
      <c r="L758">
        <v>4.5</v>
      </c>
    </row>
    <row r="759" spans="1:12" x14ac:dyDescent="0.3">
      <c r="A759" t="s">
        <v>10</v>
      </c>
      <c r="B759" t="s">
        <v>658</v>
      </c>
      <c r="C759" t="s">
        <v>48</v>
      </c>
      <c r="D759">
        <v>2018</v>
      </c>
      <c r="E759" t="s">
        <v>138</v>
      </c>
      <c r="F759" t="s">
        <v>14</v>
      </c>
      <c r="G759" t="s">
        <v>26</v>
      </c>
      <c r="H759" t="s">
        <v>40</v>
      </c>
      <c r="I759">
        <v>0.11744283799999999</v>
      </c>
      <c r="K759">
        <v>257.73039999999997</v>
      </c>
      <c r="L759">
        <v>4.5</v>
      </c>
    </row>
    <row r="760" spans="1:12" x14ac:dyDescent="0.3">
      <c r="A760" t="s">
        <v>10</v>
      </c>
      <c r="B760" t="s">
        <v>659</v>
      </c>
      <c r="C760" t="s">
        <v>48</v>
      </c>
      <c r="D760">
        <v>2018</v>
      </c>
      <c r="E760" t="s">
        <v>138</v>
      </c>
      <c r="F760" t="s">
        <v>14</v>
      </c>
      <c r="G760" t="s">
        <v>26</v>
      </c>
      <c r="H760" t="s">
        <v>40</v>
      </c>
      <c r="I760">
        <v>2.1471456E-2</v>
      </c>
      <c r="K760">
        <v>131.0284</v>
      </c>
      <c r="L760">
        <v>4.5</v>
      </c>
    </row>
    <row r="761" spans="1:12"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x14ac:dyDescent="0.3">
      <c r="A787" t="s">
        <v>10</v>
      </c>
      <c r="B787" t="s">
        <v>677</v>
      </c>
      <c r="C787" t="s">
        <v>28</v>
      </c>
      <c r="D787">
        <v>2016</v>
      </c>
      <c r="E787" t="s">
        <v>25</v>
      </c>
      <c r="F787" t="s">
        <v>14</v>
      </c>
      <c r="G787" t="s">
        <v>26</v>
      </c>
      <c r="H787" t="s">
        <v>16</v>
      </c>
      <c r="I787">
        <v>5.0070476000000003E-2</v>
      </c>
      <c r="J787">
        <v>10.3</v>
      </c>
      <c r="K787">
        <v>77.896000000000001</v>
      </c>
      <c r="L787">
        <v>4.5</v>
      </c>
    </row>
    <row r="788" spans="1:12" x14ac:dyDescent="0.3">
      <c r="A788" t="s">
        <v>10</v>
      </c>
      <c r="B788" t="s">
        <v>253</v>
      </c>
      <c r="C788" t="s">
        <v>67</v>
      </c>
      <c r="D788">
        <v>2016</v>
      </c>
      <c r="E788" t="s">
        <v>25</v>
      </c>
      <c r="F788" t="s">
        <v>14</v>
      </c>
      <c r="G788" t="s">
        <v>26</v>
      </c>
      <c r="H788" t="s">
        <v>16</v>
      </c>
      <c r="I788">
        <v>6.3226305999999996E-2</v>
      </c>
      <c r="J788">
        <v>11.35</v>
      </c>
      <c r="K788">
        <v>87.985600000000005</v>
      </c>
      <c r="L788">
        <v>4.5</v>
      </c>
    </row>
    <row r="789" spans="1:12"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
      <c r="A821" t="s">
        <v>10</v>
      </c>
      <c r="B821" t="s">
        <v>696</v>
      </c>
      <c r="C821" t="s">
        <v>74</v>
      </c>
      <c r="D821">
        <v>2015</v>
      </c>
      <c r="E821" t="s">
        <v>33</v>
      </c>
      <c r="F821" t="s">
        <v>34</v>
      </c>
      <c r="G821" t="s">
        <v>30</v>
      </c>
      <c r="H821" t="s">
        <v>16</v>
      </c>
      <c r="I821">
        <v>6.6383907000000006E-2</v>
      </c>
      <c r="J821">
        <v>16.5</v>
      </c>
      <c r="K821">
        <v>180.42920000000001</v>
      </c>
      <c r="L821">
        <v>4.5</v>
      </c>
    </row>
    <row r="822" spans="1:12" x14ac:dyDescent="0.3">
      <c r="A822" t="s">
        <v>10</v>
      </c>
      <c r="B822" t="s">
        <v>697</v>
      </c>
      <c r="C822" t="s">
        <v>28</v>
      </c>
      <c r="D822">
        <v>2015</v>
      </c>
      <c r="E822" t="s">
        <v>33</v>
      </c>
      <c r="F822" t="s">
        <v>34</v>
      </c>
      <c r="G822" t="s">
        <v>30</v>
      </c>
      <c r="H822" t="s">
        <v>16</v>
      </c>
      <c r="I822">
        <v>6.8263915999999994E-2</v>
      </c>
      <c r="J822">
        <v>16.5</v>
      </c>
      <c r="K822">
        <v>104.79900000000001</v>
      </c>
      <c r="L822">
        <v>4.5</v>
      </c>
    </row>
    <row r="823" spans="1:12" x14ac:dyDescent="0.3">
      <c r="A823" t="s">
        <v>10</v>
      </c>
      <c r="B823" t="s">
        <v>698</v>
      </c>
      <c r="C823" t="s">
        <v>67</v>
      </c>
      <c r="D823">
        <v>2015</v>
      </c>
      <c r="E823" t="s">
        <v>33</v>
      </c>
      <c r="F823" t="s">
        <v>34</v>
      </c>
      <c r="G823" t="s">
        <v>30</v>
      </c>
      <c r="H823" t="s">
        <v>16</v>
      </c>
      <c r="I823">
        <v>7.5322658000000001E-2</v>
      </c>
      <c r="J823">
        <v>5.75</v>
      </c>
      <c r="K823">
        <v>116.3176</v>
      </c>
      <c r="L823">
        <v>4.5</v>
      </c>
    </row>
    <row r="824" spans="1:12" x14ac:dyDescent="0.3">
      <c r="A824" t="s">
        <v>10</v>
      </c>
      <c r="B824" t="s">
        <v>426</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584</v>
      </c>
      <c r="C826" t="s">
        <v>54</v>
      </c>
      <c r="D826">
        <v>2015</v>
      </c>
      <c r="E826" t="s">
        <v>33</v>
      </c>
      <c r="F826" t="s">
        <v>34</v>
      </c>
      <c r="G826" t="s">
        <v>30</v>
      </c>
      <c r="H826" t="s">
        <v>16</v>
      </c>
      <c r="I826">
        <v>9.6709407999999997E-2</v>
      </c>
      <c r="J826">
        <v>20.2</v>
      </c>
      <c r="K826">
        <v>175.80279999999999</v>
      </c>
      <c r="L826">
        <v>4.5</v>
      </c>
    </row>
    <row r="827" spans="1:12"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
      <c r="A828" t="s">
        <v>10</v>
      </c>
      <c r="B828" t="s">
        <v>700</v>
      </c>
      <c r="C828" t="s">
        <v>95</v>
      </c>
      <c r="D828">
        <v>2020</v>
      </c>
      <c r="E828" t="s">
        <v>37</v>
      </c>
      <c r="F828" t="s">
        <v>34</v>
      </c>
      <c r="G828" t="s">
        <v>30</v>
      </c>
      <c r="H828" t="s">
        <v>16</v>
      </c>
      <c r="I828">
        <v>7.0312473E-2</v>
      </c>
      <c r="J828">
        <v>16.7</v>
      </c>
      <c r="K828">
        <v>189.62139999999999</v>
      </c>
      <c r="L828">
        <v>4.5</v>
      </c>
    </row>
    <row r="829" spans="1:12"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
      <c r="A830" t="s">
        <v>10</v>
      </c>
      <c r="B830" t="s">
        <v>702</v>
      </c>
      <c r="C830" t="s">
        <v>67</v>
      </c>
      <c r="D830">
        <v>2020</v>
      </c>
      <c r="E830" t="s">
        <v>37</v>
      </c>
      <c r="F830" t="s">
        <v>34</v>
      </c>
      <c r="G830" t="s">
        <v>30</v>
      </c>
      <c r="H830" t="s">
        <v>16</v>
      </c>
      <c r="I830">
        <v>4.7857877E-2</v>
      </c>
      <c r="J830">
        <v>7.71</v>
      </c>
      <c r="K830">
        <v>119.7756</v>
      </c>
      <c r="L830">
        <v>4.5</v>
      </c>
    </row>
    <row r="831" spans="1:12" x14ac:dyDescent="0.3">
      <c r="A831" t="s">
        <v>10</v>
      </c>
      <c r="B831" t="s">
        <v>703</v>
      </c>
      <c r="C831" t="s">
        <v>12</v>
      </c>
      <c r="D831">
        <v>2020</v>
      </c>
      <c r="E831" t="s">
        <v>37</v>
      </c>
      <c r="F831" t="s">
        <v>34</v>
      </c>
      <c r="G831" t="s">
        <v>15</v>
      </c>
      <c r="H831" t="s">
        <v>16</v>
      </c>
      <c r="I831">
        <v>6.4570459999999996E-2</v>
      </c>
      <c r="J831">
        <v>13.8</v>
      </c>
      <c r="K831">
        <v>76.2012</v>
      </c>
      <c r="L831">
        <v>4.5</v>
      </c>
    </row>
    <row r="832" spans="1:12" x14ac:dyDescent="0.3">
      <c r="A832" t="s">
        <v>10</v>
      </c>
      <c r="B832" t="s">
        <v>258</v>
      </c>
      <c r="C832" t="s">
        <v>54</v>
      </c>
      <c r="D832">
        <v>2020</v>
      </c>
      <c r="E832" t="s">
        <v>37</v>
      </c>
      <c r="F832" t="s">
        <v>34</v>
      </c>
      <c r="G832" t="s">
        <v>15</v>
      </c>
      <c r="H832" t="s">
        <v>16</v>
      </c>
      <c r="I832">
        <v>0</v>
      </c>
      <c r="J832">
        <v>5.15</v>
      </c>
      <c r="K832">
        <v>122.9388</v>
      </c>
      <c r="L832">
        <v>4.5</v>
      </c>
    </row>
    <row r="833" spans="1:12"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
      <c r="A834" t="s">
        <v>10</v>
      </c>
      <c r="B834" t="s">
        <v>318</v>
      </c>
      <c r="C834" t="s">
        <v>54</v>
      </c>
      <c r="D834">
        <v>2020</v>
      </c>
      <c r="E834" t="s">
        <v>37</v>
      </c>
      <c r="F834" t="s">
        <v>34</v>
      </c>
      <c r="G834" t="s">
        <v>15</v>
      </c>
      <c r="H834" t="s">
        <v>16</v>
      </c>
      <c r="I834">
        <v>8.7853500000000008E-3</v>
      </c>
      <c r="J834">
        <v>15.7</v>
      </c>
      <c r="K834">
        <v>204.99799999999999</v>
      </c>
      <c r="L834">
        <v>4.5</v>
      </c>
    </row>
    <row r="835" spans="1:12" x14ac:dyDescent="0.3">
      <c r="A835" t="s">
        <v>10</v>
      </c>
      <c r="B835" t="s">
        <v>365</v>
      </c>
      <c r="C835" t="s">
        <v>48</v>
      </c>
      <c r="D835">
        <v>2020</v>
      </c>
      <c r="E835" t="s">
        <v>37</v>
      </c>
      <c r="F835" t="s">
        <v>34</v>
      </c>
      <c r="G835" t="s">
        <v>15</v>
      </c>
      <c r="H835" t="s">
        <v>16</v>
      </c>
      <c r="I835">
        <v>0</v>
      </c>
      <c r="J835">
        <v>9.6</v>
      </c>
      <c r="K835">
        <v>191.0872</v>
      </c>
      <c r="L835">
        <v>4.5</v>
      </c>
    </row>
    <row r="836" spans="1:12"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x14ac:dyDescent="0.3">
      <c r="A852" t="s">
        <v>10</v>
      </c>
      <c r="B852" t="s">
        <v>710</v>
      </c>
      <c r="C852" t="s">
        <v>95</v>
      </c>
      <c r="D852">
        <v>2017</v>
      </c>
      <c r="E852" t="s">
        <v>50</v>
      </c>
      <c r="F852" t="s">
        <v>34</v>
      </c>
      <c r="G852" t="s">
        <v>26</v>
      </c>
      <c r="H852" t="s">
        <v>16</v>
      </c>
      <c r="I852">
        <v>0</v>
      </c>
      <c r="J852">
        <v>11.85</v>
      </c>
      <c r="K852">
        <v>51.266599999999997</v>
      </c>
      <c r="L852">
        <v>4.5</v>
      </c>
    </row>
    <row r="853" spans="1:12" x14ac:dyDescent="0.3">
      <c r="A853" t="s">
        <v>10</v>
      </c>
      <c r="B853" t="s">
        <v>711</v>
      </c>
      <c r="C853" t="s">
        <v>28</v>
      </c>
      <c r="D853">
        <v>2017</v>
      </c>
      <c r="E853" t="s">
        <v>50</v>
      </c>
      <c r="F853" t="s">
        <v>34</v>
      </c>
      <c r="G853" t="s">
        <v>26</v>
      </c>
      <c r="H853" t="s">
        <v>16</v>
      </c>
      <c r="I853">
        <v>0.13312044000000001</v>
      </c>
      <c r="J853">
        <v>11</v>
      </c>
      <c r="K853">
        <v>221.57980000000001</v>
      </c>
      <c r="L853">
        <v>4.5</v>
      </c>
    </row>
    <row r="854" spans="1:12" x14ac:dyDescent="0.3">
      <c r="A854" t="s">
        <v>10</v>
      </c>
      <c r="B854" t="s">
        <v>712</v>
      </c>
      <c r="C854" t="s">
        <v>28</v>
      </c>
      <c r="D854">
        <v>2017</v>
      </c>
      <c r="E854" t="s">
        <v>50</v>
      </c>
      <c r="F854" t="s">
        <v>34</v>
      </c>
      <c r="G854" t="s">
        <v>26</v>
      </c>
      <c r="H854" t="s">
        <v>16</v>
      </c>
      <c r="I854">
        <v>2.5162021999999999E-2</v>
      </c>
      <c r="J854">
        <v>17.2</v>
      </c>
      <c r="K854">
        <v>145.9418</v>
      </c>
      <c r="L854">
        <v>4.5</v>
      </c>
    </row>
    <row r="855" spans="1:12" x14ac:dyDescent="0.3">
      <c r="A855" t="s">
        <v>10</v>
      </c>
      <c r="B855" t="s">
        <v>187</v>
      </c>
      <c r="C855" t="s">
        <v>67</v>
      </c>
      <c r="D855">
        <v>2017</v>
      </c>
      <c r="E855" t="s">
        <v>50</v>
      </c>
      <c r="F855" t="s">
        <v>34</v>
      </c>
      <c r="G855" t="s">
        <v>26</v>
      </c>
      <c r="H855" t="s">
        <v>16</v>
      </c>
      <c r="I855">
        <v>2.3318068000000001E-2</v>
      </c>
      <c r="J855">
        <v>11.35</v>
      </c>
      <c r="K855">
        <v>182.46080000000001</v>
      </c>
      <c r="L855">
        <v>4.5</v>
      </c>
    </row>
    <row r="856" spans="1:12" x14ac:dyDescent="0.3">
      <c r="A856" t="s">
        <v>10</v>
      </c>
      <c r="B856" t="s">
        <v>127</v>
      </c>
      <c r="C856" t="s">
        <v>24</v>
      </c>
      <c r="D856">
        <v>2017</v>
      </c>
      <c r="E856" t="s">
        <v>50</v>
      </c>
      <c r="F856" t="s">
        <v>34</v>
      </c>
      <c r="G856" t="s">
        <v>26</v>
      </c>
      <c r="H856" t="s">
        <v>16</v>
      </c>
      <c r="I856">
        <v>7.7150003999999994E-2</v>
      </c>
      <c r="J856">
        <v>11.6</v>
      </c>
      <c r="K856">
        <v>170.2106</v>
      </c>
      <c r="L856">
        <v>4.5</v>
      </c>
    </row>
    <row r="857" spans="1:12" x14ac:dyDescent="0.3">
      <c r="A857" t="s">
        <v>10</v>
      </c>
      <c r="B857" t="s">
        <v>259</v>
      </c>
      <c r="C857" t="s">
        <v>48</v>
      </c>
      <c r="D857">
        <v>2017</v>
      </c>
      <c r="E857" t="s">
        <v>50</v>
      </c>
      <c r="F857" t="s">
        <v>34</v>
      </c>
      <c r="G857" t="s">
        <v>26</v>
      </c>
      <c r="H857" t="s">
        <v>16</v>
      </c>
      <c r="I857">
        <v>2.9006239E-2</v>
      </c>
      <c r="J857">
        <v>6.61</v>
      </c>
      <c r="K857">
        <v>186.0898</v>
      </c>
      <c r="L857">
        <v>4.5</v>
      </c>
    </row>
    <row r="858" spans="1:12" x14ac:dyDescent="0.3">
      <c r="A858" t="s">
        <v>10</v>
      </c>
      <c r="B858" t="s">
        <v>713</v>
      </c>
      <c r="C858" t="s">
        <v>48</v>
      </c>
      <c r="D858">
        <v>2017</v>
      </c>
      <c r="E858" t="s">
        <v>50</v>
      </c>
      <c r="F858" t="s">
        <v>34</v>
      </c>
      <c r="G858" t="s">
        <v>26</v>
      </c>
      <c r="H858" t="s">
        <v>16</v>
      </c>
      <c r="I858">
        <v>0.14460413</v>
      </c>
      <c r="J858">
        <v>7.21</v>
      </c>
      <c r="K858">
        <v>102.6332</v>
      </c>
      <c r="L858">
        <v>4.5</v>
      </c>
    </row>
    <row r="859" spans="1:12" x14ac:dyDescent="0.3">
      <c r="A859" t="s">
        <v>10</v>
      </c>
      <c r="B859" t="s">
        <v>365</v>
      </c>
      <c r="C859" t="s">
        <v>48</v>
      </c>
      <c r="D859">
        <v>2017</v>
      </c>
      <c r="E859" t="s">
        <v>50</v>
      </c>
      <c r="F859" t="s">
        <v>34</v>
      </c>
      <c r="G859" t="s">
        <v>26</v>
      </c>
      <c r="H859" t="s">
        <v>16</v>
      </c>
      <c r="I859">
        <v>1.4209810999999999E-2</v>
      </c>
      <c r="J859">
        <v>9.6</v>
      </c>
      <c r="K859">
        <v>188.18719999999999</v>
      </c>
      <c r="L859">
        <v>4.5</v>
      </c>
    </row>
    <row r="860" spans="1:12" x14ac:dyDescent="0.3">
      <c r="A860" t="s">
        <v>10</v>
      </c>
      <c r="B860" t="s">
        <v>714</v>
      </c>
      <c r="C860" t="s">
        <v>48</v>
      </c>
      <c r="D860">
        <v>2017</v>
      </c>
      <c r="E860" t="s">
        <v>50</v>
      </c>
      <c r="F860" t="s">
        <v>34</v>
      </c>
      <c r="G860" t="s">
        <v>26</v>
      </c>
      <c r="H860" t="s">
        <v>16</v>
      </c>
      <c r="I860">
        <v>8.5119854999999994E-2</v>
      </c>
      <c r="J860">
        <v>10.65</v>
      </c>
      <c r="K860">
        <v>229.86680000000001</v>
      </c>
      <c r="L860">
        <v>4.5</v>
      </c>
    </row>
    <row r="861" spans="1:12" x14ac:dyDescent="0.3">
      <c r="A861" t="s">
        <v>10</v>
      </c>
      <c r="B861" t="s">
        <v>715</v>
      </c>
      <c r="C861" t="s">
        <v>48</v>
      </c>
      <c r="D861">
        <v>2017</v>
      </c>
      <c r="E861" t="s">
        <v>50</v>
      </c>
      <c r="F861" t="s">
        <v>34</v>
      </c>
      <c r="G861" t="s">
        <v>26</v>
      </c>
      <c r="H861" t="s">
        <v>16</v>
      </c>
      <c r="I861">
        <v>4.1373330999999999E-2</v>
      </c>
      <c r="J861">
        <v>17.600000000000001</v>
      </c>
      <c r="K861">
        <v>38.119</v>
      </c>
      <c r="L861">
        <v>4.5</v>
      </c>
    </row>
    <row r="862" spans="1:12"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726</v>
      </c>
      <c r="C877" t="s">
        <v>28</v>
      </c>
      <c r="D877">
        <v>2011</v>
      </c>
      <c r="E877" t="s">
        <v>39</v>
      </c>
      <c r="F877" t="s">
        <v>21</v>
      </c>
      <c r="G877" t="s">
        <v>30</v>
      </c>
      <c r="H877" t="s">
        <v>40</v>
      </c>
      <c r="I877">
        <v>0.13978510399999999</v>
      </c>
      <c r="J877">
        <v>13</v>
      </c>
      <c r="K877">
        <v>196.24260000000001</v>
      </c>
      <c r="L877">
        <v>4.5</v>
      </c>
    </row>
    <row r="878" spans="1:12"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
      <c r="A879" t="s">
        <v>10</v>
      </c>
      <c r="B879" t="s">
        <v>269</v>
      </c>
      <c r="C879" t="s">
        <v>24</v>
      </c>
      <c r="D879">
        <v>2011</v>
      </c>
      <c r="E879" t="s">
        <v>39</v>
      </c>
      <c r="F879" t="s">
        <v>21</v>
      </c>
      <c r="G879" t="s">
        <v>30</v>
      </c>
      <c r="H879" t="s">
        <v>40</v>
      </c>
      <c r="I879">
        <v>0.245483691</v>
      </c>
      <c r="J879">
        <v>10.195</v>
      </c>
      <c r="K879">
        <v>141.88380000000001</v>
      </c>
      <c r="L879">
        <v>4.5</v>
      </c>
    </row>
    <row r="880" spans="1:12" x14ac:dyDescent="0.3">
      <c r="A880" t="s">
        <v>10</v>
      </c>
      <c r="B880" t="s">
        <v>727</v>
      </c>
      <c r="C880" t="s">
        <v>48</v>
      </c>
      <c r="D880">
        <v>2011</v>
      </c>
      <c r="E880" t="s">
        <v>39</v>
      </c>
      <c r="F880" t="s">
        <v>21</v>
      </c>
      <c r="G880" t="s">
        <v>30</v>
      </c>
      <c r="H880" t="s">
        <v>40</v>
      </c>
      <c r="I880">
        <v>2.9893093999999999E-2</v>
      </c>
      <c r="J880">
        <v>13.5</v>
      </c>
      <c r="K880">
        <v>81.096000000000004</v>
      </c>
      <c r="L880">
        <v>4.5</v>
      </c>
    </row>
    <row r="881" spans="1:12"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x14ac:dyDescent="0.3">
      <c r="A895" t="s">
        <v>10</v>
      </c>
      <c r="B895" t="s">
        <v>731</v>
      </c>
      <c r="C895" t="s">
        <v>28</v>
      </c>
      <c r="D895">
        <v>2014</v>
      </c>
      <c r="E895" t="s">
        <v>29</v>
      </c>
      <c r="F895" t="s">
        <v>21</v>
      </c>
      <c r="G895" t="s">
        <v>30</v>
      </c>
      <c r="H895" t="s">
        <v>16</v>
      </c>
      <c r="I895">
        <v>2.076385E-2</v>
      </c>
      <c r="J895">
        <v>7.27</v>
      </c>
      <c r="K895">
        <v>89.0488</v>
      </c>
      <c r="L895">
        <v>4.5</v>
      </c>
    </row>
    <row r="896" spans="1:12" x14ac:dyDescent="0.3">
      <c r="A896" t="s">
        <v>10</v>
      </c>
      <c r="B896" t="s">
        <v>732</v>
      </c>
      <c r="C896" t="s">
        <v>67</v>
      </c>
      <c r="D896">
        <v>2014</v>
      </c>
      <c r="E896" t="s">
        <v>29</v>
      </c>
      <c r="F896" t="s">
        <v>21</v>
      </c>
      <c r="G896" t="s">
        <v>30</v>
      </c>
      <c r="H896" t="s">
        <v>16</v>
      </c>
      <c r="I896">
        <v>9.6138539999999998E-3</v>
      </c>
      <c r="J896">
        <v>10.895</v>
      </c>
      <c r="K896">
        <v>122.973</v>
      </c>
      <c r="L896">
        <v>4.5</v>
      </c>
    </row>
    <row r="897" spans="1:12" x14ac:dyDescent="0.3">
      <c r="A897" t="s">
        <v>10</v>
      </c>
      <c r="B897" t="s">
        <v>733</v>
      </c>
      <c r="C897" t="s">
        <v>12</v>
      </c>
      <c r="D897">
        <v>2014</v>
      </c>
      <c r="E897" t="s">
        <v>29</v>
      </c>
      <c r="F897" t="s">
        <v>21</v>
      </c>
      <c r="G897" t="s">
        <v>30</v>
      </c>
      <c r="H897" t="s">
        <v>16</v>
      </c>
      <c r="I897">
        <v>7.7254736000000004E-2</v>
      </c>
      <c r="J897">
        <v>5.82</v>
      </c>
      <c r="K897">
        <v>257.63299999999998</v>
      </c>
      <c r="L897">
        <v>4.5</v>
      </c>
    </row>
    <row r="898" spans="1:12" x14ac:dyDescent="0.3">
      <c r="A898" t="s">
        <v>10</v>
      </c>
      <c r="B898" t="s">
        <v>734</v>
      </c>
      <c r="C898" t="s">
        <v>12</v>
      </c>
      <c r="D898">
        <v>2014</v>
      </c>
      <c r="E898" t="s">
        <v>29</v>
      </c>
      <c r="F898" t="s">
        <v>21</v>
      </c>
      <c r="G898" t="s">
        <v>30</v>
      </c>
      <c r="H898" t="s">
        <v>16</v>
      </c>
      <c r="I898">
        <v>0.106238768</v>
      </c>
      <c r="J898">
        <v>12.3</v>
      </c>
      <c r="K898">
        <v>176.1396</v>
      </c>
      <c r="L898">
        <v>4.5</v>
      </c>
    </row>
    <row r="899" spans="1:12" x14ac:dyDescent="0.3">
      <c r="A899" t="s">
        <v>10</v>
      </c>
      <c r="B899" t="s">
        <v>727</v>
      </c>
      <c r="C899" t="s">
        <v>48</v>
      </c>
      <c r="D899">
        <v>2014</v>
      </c>
      <c r="E899" t="s">
        <v>29</v>
      </c>
      <c r="F899" t="s">
        <v>21</v>
      </c>
      <c r="G899" t="s">
        <v>30</v>
      </c>
      <c r="H899" t="s">
        <v>16</v>
      </c>
      <c r="I899">
        <v>1.7844609000000001E-2</v>
      </c>
      <c r="J899">
        <v>13.5</v>
      </c>
      <c r="K899">
        <v>81.396000000000001</v>
      </c>
      <c r="L899">
        <v>4.5</v>
      </c>
    </row>
    <row r="900" spans="1:12"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x14ac:dyDescent="0.3">
      <c r="A913" t="s">
        <v>10</v>
      </c>
      <c r="B913" t="s">
        <v>744</v>
      </c>
      <c r="C913" t="s">
        <v>67</v>
      </c>
      <c r="D913">
        <v>2022</v>
      </c>
      <c r="E913" t="s">
        <v>20</v>
      </c>
      <c r="F913" t="s">
        <v>21</v>
      </c>
      <c r="G913" t="s">
        <v>15</v>
      </c>
      <c r="H913" t="s">
        <v>22</v>
      </c>
      <c r="I913">
        <v>3.0634813E-2</v>
      </c>
      <c r="J913">
        <v>20.6</v>
      </c>
      <c r="K913">
        <v>212.92439999999999</v>
      </c>
      <c r="L913">
        <v>4.5</v>
      </c>
    </row>
    <row r="914" spans="1:12" x14ac:dyDescent="0.3">
      <c r="A914" t="s">
        <v>10</v>
      </c>
      <c r="B914" t="s">
        <v>315</v>
      </c>
      <c r="C914" t="s">
        <v>12</v>
      </c>
      <c r="D914">
        <v>2022</v>
      </c>
      <c r="E914" t="s">
        <v>20</v>
      </c>
      <c r="F914" t="s">
        <v>21</v>
      </c>
      <c r="G914" t="s">
        <v>15</v>
      </c>
      <c r="H914" t="s">
        <v>22</v>
      </c>
      <c r="I914">
        <v>6.0045007999999997E-2</v>
      </c>
      <c r="J914">
        <v>20.2</v>
      </c>
      <c r="K914">
        <v>128.36779999999999</v>
      </c>
      <c r="L914">
        <v>4.5</v>
      </c>
    </row>
    <row r="915" spans="1:12"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x14ac:dyDescent="0.3">
      <c r="A931" t="s">
        <v>10</v>
      </c>
      <c r="B931" t="s">
        <v>755</v>
      </c>
      <c r="C931" t="s">
        <v>95</v>
      </c>
      <c r="D931">
        <v>2018</v>
      </c>
      <c r="E931" t="s">
        <v>45</v>
      </c>
      <c r="F931" t="s">
        <v>21</v>
      </c>
      <c r="G931" t="s">
        <v>15</v>
      </c>
      <c r="H931" t="s">
        <v>46</v>
      </c>
      <c r="I931">
        <v>2.524761E-2</v>
      </c>
      <c r="K931">
        <v>81.993399999999994</v>
      </c>
      <c r="L931">
        <v>4.5</v>
      </c>
    </row>
    <row r="932" spans="1:12" x14ac:dyDescent="0.3">
      <c r="A932" t="s">
        <v>10</v>
      </c>
      <c r="B932" t="s">
        <v>725</v>
      </c>
      <c r="C932" t="s">
        <v>28</v>
      </c>
      <c r="D932">
        <v>2018</v>
      </c>
      <c r="E932" t="s">
        <v>45</v>
      </c>
      <c r="F932" t="s">
        <v>21</v>
      </c>
      <c r="G932" t="s">
        <v>15</v>
      </c>
      <c r="H932" t="s">
        <v>46</v>
      </c>
      <c r="I932">
        <v>4.6408928000000002E-2</v>
      </c>
      <c r="K932">
        <v>153.2998</v>
      </c>
      <c r="L932">
        <v>4.5</v>
      </c>
    </row>
    <row r="933" spans="1:12" x14ac:dyDescent="0.3">
      <c r="A933" t="s">
        <v>10</v>
      </c>
      <c r="B933" t="s">
        <v>756</v>
      </c>
      <c r="C933" t="s">
        <v>24</v>
      </c>
      <c r="D933">
        <v>2018</v>
      </c>
      <c r="E933" t="s">
        <v>45</v>
      </c>
      <c r="F933" t="s">
        <v>21</v>
      </c>
      <c r="G933" t="s">
        <v>15</v>
      </c>
      <c r="H933" t="s">
        <v>46</v>
      </c>
      <c r="I933">
        <v>7.9954799999999993E-3</v>
      </c>
      <c r="K933">
        <v>78.561800000000005</v>
      </c>
      <c r="L933">
        <v>4.5</v>
      </c>
    </row>
    <row r="934" spans="1:12" x14ac:dyDescent="0.3">
      <c r="A934" t="s">
        <v>10</v>
      </c>
      <c r="B934" t="s">
        <v>757</v>
      </c>
      <c r="C934" t="s">
        <v>24</v>
      </c>
      <c r="D934">
        <v>2018</v>
      </c>
      <c r="E934" t="s">
        <v>45</v>
      </c>
      <c r="F934" t="s">
        <v>21</v>
      </c>
      <c r="G934" t="s">
        <v>15</v>
      </c>
      <c r="H934" t="s">
        <v>46</v>
      </c>
      <c r="I934">
        <v>4.1273391E-2</v>
      </c>
      <c r="K934">
        <v>91.680400000000006</v>
      </c>
      <c r="L934">
        <v>4.5</v>
      </c>
    </row>
    <row r="935" spans="1:12" x14ac:dyDescent="0.3">
      <c r="A935" t="s">
        <v>10</v>
      </c>
      <c r="B935" t="s">
        <v>758</v>
      </c>
      <c r="C935" t="s">
        <v>24</v>
      </c>
      <c r="D935">
        <v>2018</v>
      </c>
      <c r="E935" t="s">
        <v>45</v>
      </c>
      <c r="F935" t="s">
        <v>21</v>
      </c>
      <c r="G935" t="s">
        <v>15</v>
      </c>
      <c r="H935" t="s">
        <v>46</v>
      </c>
      <c r="I935">
        <v>4.2270751000000002E-2</v>
      </c>
      <c r="K935">
        <v>162.52099999999999</v>
      </c>
      <c r="L935">
        <v>4.5</v>
      </c>
    </row>
    <row r="936" spans="1:12" x14ac:dyDescent="0.3">
      <c r="A936" t="s">
        <v>10</v>
      </c>
      <c r="B936" t="s">
        <v>759</v>
      </c>
      <c r="C936" t="s">
        <v>12</v>
      </c>
      <c r="D936">
        <v>2018</v>
      </c>
      <c r="E936" t="s">
        <v>45</v>
      </c>
      <c r="F936" t="s">
        <v>21</v>
      </c>
      <c r="G936" t="s">
        <v>15</v>
      </c>
      <c r="H936" t="s">
        <v>46</v>
      </c>
      <c r="I936">
        <v>2.8842331999999998E-2</v>
      </c>
      <c r="K936">
        <v>81.495999999999995</v>
      </c>
      <c r="L936">
        <v>4.5</v>
      </c>
    </row>
    <row r="937" spans="1:12" x14ac:dyDescent="0.3">
      <c r="A937" t="s">
        <v>10</v>
      </c>
      <c r="B937" t="s">
        <v>760</v>
      </c>
      <c r="C937" t="s">
        <v>48</v>
      </c>
      <c r="D937">
        <v>2018</v>
      </c>
      <c r="E937" t="s">
        <v>45</v>
      </c>
      <c r="F937" t="s">
        <v>21</v>
      </c>
      <c r="G937" t="s">
        <v>15</v>
      </c>
      <c r="H937" t="s">
        <v>46</v>
      </c>
      <c r="I937">
        <v>1.3951504E-2</v>
      </c>
      <c r="K937">
        <v>199.9084</v>
      </c>
      <c r="L937">
        <v>4.5</v>
      </c>
    </row>
    <row r="938" spans="1:12"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x14ac:dyDescent="0.3">
      <c r="A953" t="s">
        <v>10</v>
      </c>
      <c r="B953" t="s">
        <v>770</v>
      </c>
      <c r="C953" t="s">
        <v>48</v>
      </c>
      <c r="D953">
        <v>2018</v>
      </c>
      <c r="E953" t="s">
        <v>138</v>
      </c>
      <c r="F953" t="s">
        <v>14</v>
      </c>
      <c r="G953" t="s">
        <v>26</v>
      </c>
      <c r="H953" t="s">
        <v>40</v>
      </c>
      <c r="I953">
        <v>8.2741482000000005E-2</v>
      </c>
      <c r="K953">
        <v>118.7782</v>
      </c>
      <c r="L953">
        <v>4.4000000000000004</v>
      </c>
    </row>
    <row r="954" spans="1:12"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775</v>
      </c>
      <c r="C959" t="s">
        <v>28</v>
      </c>
      <c r="D959">
        <v>2016</v>
      </c>
      <c r="E959" t="s">
        <v>25</v>
      </c>
      <c r="F959" t="s">
        <v>14</v>
      </c>
      <c r="G959" t="s">
        <v>26</v>
      </c>
      <c r="H959" t="s">
        <v>16</v>
      </c>
      <c r="I959">
        <v>1.1995271E-2</v>
      </c>
      <c r="J959">
        <v>20.25</v>
      </c>
      <c r="K959">
        <v>184.5924</v>
      </c>
      <c r="L959">
        <v>4.4000000000000004</v>
      </c>
    </row>
    <row r="960" spans="1:12"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785</v>
      </c>
      <c r="C975" t="s">
        <v>54</v>
      </c>
      <c r="D975">
        <v>2018</v>
      </c>
      <c r="E975" t="s">
        <v>45</v>
      </c>
      <c r="F975" t="s">
        <v>21</v>
      </c>
      <c r="G975" t="s">
        <v>15</v>
      </c>
      <c r="H975" t="s">
        <v>46</v>
      </c>
      <c r="I975">
        <v>0.15034186699999999</v>
      </c>
      <c r="K975">
        <v>83.127600000000001</v>
      </c>
      <c r="L975">
        <v>4.4000000000000004</v>
      </c>
    </row>
    <row r="976" spans="1:12" x14ac:dyDescent="0.3">
      <c r="A976" t="s">
        <v>10</v>
      </c>
      <c r="B976" t="s">
        <v>786</v>
      </c>
      <c r="C976" t="s">
        <v>28</v>
      </c>
      <c r="D976">
        <v>2018</v>
      </c>
      <c r="E976" t="s">
        <v>45</v>
      </c>
      <c r="F976" t="s">
        <v>21</v>
      </c>
      <c r="G976" t="s">
        <v>15</v>
      </c>
      <c r="H976" t="s">
        <v>46</v>
      </c>
      <c r="I976">
        <v>0</v>
      </c>
      <c r="K976">
        <v>154.63140000000001</v>
      </c>
      <c r="L976">
        <v>4.4000000000000004</v>
      </c>
    </row>
    <row r="977" spans="1:12"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
      <c r="A999" t="s">
        <v>10</v>
      </c>
      <c r="B999" t="s">
        <v>802</v>
      </c>
      <c r="C999" t="s">
        <v>95</v>
      </c>
      <c r="D999">
        <v>2012</v>
      </c>
      <c r="E999" t="s">
        <v>13</v>
      </c>
      <c r="F999" t="s">
        <v>14</v>
      </c>
      <c r="G999" t="s">
        <v>15</v>
      </c>
      <c r="H999" t="s">
        <v>16</v>
      </c>
      <c r="I999">
        <v>0.106918052</v>
      </c>
      <c r="J999">
        <v>16</v>
      </c>
      <c r="K999">
        <v>183.5634</v>
      </c>
      <c r="L999">
        <v>4.4000000000000004</v>
      </c>
    </row>
    <row r="1000" spans="1:12"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
      <c r="A1034" t="s">
        <v>10</v>
      </c>
      <c r="B1034" t="s">
        <v>825</v>
      </c>
      <c r="C1034" t="s">
        <v>67</v>
      </c>
      <c r="D1034">
        <v>2018</v>
      </c>
      <c r="E1034" t="s">
        <v>138</v>
      </c>
      <c r="F1034" t="s">
        <v>14</v>
      </c>
      <c r="G1034" t="s">
        <v>26</v>
      </c>
      <c r="H1034" t="s">
        <v>40</v>
      </c>
      <c r="I1034">
        <v>0.208662546</v>
      </c>
      <c r="K1034">
        <v>231.83</v>
      </c>
      <c r="L1034">
        <v>4.4000000000000004</v>
      </c>
    </row>
    <row r="1035" spans="1:12"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
      <c r="A1036" t="s">
        <v>10</v>
      </c>
      <c r="B1036" t="s">
        <v>826</v>
      </c>
      <c r="C1036" t="s">
        <v>24</v>
      </c>
      <c r="D1036">
        <v>2018</v>
      </c>
      <c r="E1036" t="s">
        <v>138</v>
      </c>
      <c r="F1036" t="s">
        <v>14</v>
      </c>
      <c r="G1036" t="s">
        <v>26</v>
      </c>
      <c r="H1036" t="s">
        <v>40</v>
      </c>
      <c r="I1036">
        <v>6.0154968000000003E-2</v>
      </c>
      <c r="K1036">
        <v>110.1544</v>
      </c>
      <c r="L1036">
        <v>4.4000000000000004</v>
      </c>
    </row>
    <row r="1037" spans="1:12"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
      <c r="A1125" t="s">
        <v>10</v>
      </c>
      <c r="B1125" t="s">
        <v>713</v>
      </c>
      <c r="C1125" t="s">
        <v>48</v>
      </c>
      <c r="D1125">
        <v>2020</v>
      </c>
      <c r="E1125" t="s">
        <v>37</v>
      </c>
      <c r="F1125" t="s">
        <v>34</v>
      </c>
      <c r="G1125" t="s">
        <v>15</v>
      </c>
      <c r="H1125" t="s">
        <v>16</v>
      </c>
      <c r="I1125">
        <v>0</v>
      </c>
      <c r="J1125">
        <v>7.21</v>
      </c>
      <c r="K1125">
        <v>103.1332</v>
      </c>
      <c r="L1125">
        <v>4.4000000000000004</v>
      </c>
    </row>
    <row r="1126" spans="1:12"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
      <c r="A1279" t="s">
        <v>10</v>
      </c>
      <c r="B1279" t="s">
        <v>956</v>
      </c>
      <c r="C1279" t="s">
        <v>12</v>
      </c>
      <c r="D1279">
        <v>2018</v>
      </c>
      <c r="E1279" t="s">
        <v>45</v>
      </c>
      <c r="F1279" t="s">
        <v>21</v>
      </c>
      <c r="G1279" t="s">
        <v>15</v>
      </c>
      <c r="H1279" t="s">
        <v>46</v>
      </c>
      <c r="I1279">
        <v>0.158947217</v>
      </c>
      <c r="K1279">
        <v>145.5102</v>
      </c>
      <c r="L1279">
        <v>4.4000000000000004</v>
      </c>
    </row>
    <row r="1280" spans="1:12" x14ac:dyDescent="0.3">
      <c r="A1280" t="s">
        <v>10</v>
      </c>
      <c r="B1280" t="s">
        <v>957</v>
      </c>
      <c r="C1280" t="s">
        <v>12</v>
      </c>
      <c r="D1280">
        <v>2018</v>
      </c>
      <c r="E1280" t="s">
        <v>45</v>
      </c>
      <c r="F1280" t="s">
        <v>21</v>
      </c>
      <c r="G1280" t="s">
        <v>15</v>
      </c>
      <c r="H1280" t="s">
        <v>46</v>
      </c>
      <c r="I1280">
        <v>4.8924810999999999E-2</v>
      </c>
      <c r="K1280">
        <v>147.4102</v>
      </c>
      <c r="L1280">
        <v>4.4000000000000004</v>
      </c>
    </row>
    <row r="1281" spans="1:12"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965</v>
      </c>
      <c r="C1313" t="s">
        <v>48</v>
      </c>
      <c r="D1313">
        <v>2012</v>
      </c>
      <c r="E1313" t="s">
        <v>13</v>
      </c>
      <c r="F1313" t="s">
        <v>14</v>
      </c>
      <c r="G1313" t="s">
        <v>15</v>
      </c>
      <c r="H1313" t="s">
        <v>16</v>
      </c>
      <c r="I1313">
        <v>6.6700679999999998E-2</v>
      </c>
      <c r="J1313">
        <v>7.71</v>
      </c>
      <c r="K1313">
        <v>55.2956</v>
      </c>
      <c r="L1313">
        <v>4.3</v>
      </c>
    </row>
    <row r="1314" spans="1:12"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975</v>
      </c>
      <c r="C1338" t="s">
        <v>12</v>
      </c>
      <c r="D1338">
        <v>2011</v>
      </c>
      <c r="E1338" t="s">
        <v>39</v>
      </c>
      <c r="F1338" t="s">
        <v>21</v>
      </c>
      <c r="G1338" t="s">
        <v>15</v>
      </c>
      <c r="H1338" t="s">
        <v>40</v>
      </c>
      <c r="I1338">
        <v>0.210375806</v>
      </c>
      <c r="J1338">
        <v>15.5</v>
      </c>
      <c r="K1338">
        <v>178.2028</v>
      </c>
      <c r="L1338">
        <v>4.3</v>
      </c>
    </row>
    <row r="1339" spans="1:12"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
      <c r="A1408" t="s">
        <v>10</v>
      </c>
      <c r="B1408" t="s">
        <v>421</v>
      </c>
      <c r="C1408" t="s">
        <v>95</v>
      </c>
      <c r="D1408">
        <v>2012</v>
      </c>
      <c r="E1408" t="s">
        <v>13</v>
      </c>
      <c r="F1408" t="s">
        <v>14</v>
      </c>
      <c r="G1408" t="s">
        <v>15</v>
      </c>
      <c r="H1408" t="s">
        <v>16</v>
      </c>
      <c r="I1408">
        <v>0</v>
      </c>
      <c r="J1408">
        <v>6.78</v>
      </c>
      <c r="K1408">
        <v>95.012</v>
      </c>
      <c r="L1408">
        <v>4.3</v>
      </c>
    </row>
    <row r="1409" spans="1:12"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
      <c r="A1412" t="s">
        <v>10</v>
      </c>
      <c r="B1412" t="s">
        <v>422</v>
      </c>
      <c r="C1412" t="s">
        <v>74</v>
      </c>
      <c r="D1412">
        <v>2012</v>
      </c>
      <c r="E1412" t="s">
        <v>13</v>
      </c>
      <c r="F1412" t="s">
        <v>14</v>
      </c>
      <c r="G1412" t="s">
        <v>15</v>
      </c>
      <c r="H1412" t="s">
        <v>16</v>
      </c>
      <c r="I1412">
        <v>0.15707565800000001</v>
      </c>
      <c r="J1412">
        <v>11.6</v>
      </c>
      <c r="K1412">
        <v>166.6474</v>
      </c>
      <c r="L1412">
        <v>4.3</v>
      </c>
    </row>
    <row r="1413" spans="1:12"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x14ac:dyDescent="0.3">
      <c r="A1415" t="s">
        <v>10</v>
      </c>
      <c r="B1415" t="s">
        <v>884</v>
      </c>
      <c r="C1415" t="s">
        <v>28</v>
      </c>
      <c r="D1415">
        <v>2012</v>
      </c>
      <c r="E1415" t="s">
        <v>13</v>
      </c>
      <c r="F1415" t="s">
        <v>14</v>
      </c>
      <c r="G1415" t="s">
        <v>15</v>
      </c>
      <c r="H1415" t="s">
        <v>16</v>
      </c>
      <c r="I1415">
        <v>3.1494041E-2</v>
      </c>
      <c r="J1415">
        <v>13.65</v>
      </c>
      <c r="K1415">
        <v>98.87</v>
      </c>
      <c r="L1415">
        <v>4.3</v>
      </c>
    </row>
    <row r="1416" spans="1:12" x14ac:dyDescent="0.3">
      <c r="A1416" t="s">
        <v>10</v>
      </c>
      <c r="B1416" t="s">
        <v>85</v>
      </c>
      <c r="C1416" t="s">
        <v>67</v>
      </c>
      <c r="D1416">
        <v>2012</v>
      </c>
      <c r="E1416" t="s">
        <v>13</v>
      </c>
      <c r="F1416" t="s">
        <v>14</v>
      </c>
      <c r="G1416" t="s">
        <v>15</v>
      </c>
      <c r="H1416" t="s">
        <v>16</v>
      </c>
      <c r="I1416">
        <v>0</v>
      </c>
      <c r="J1416">
        <v>6.75</v>
      </c>
      <c r="K1416">
        <v>96.775199999999998</v>
      </c>
      <c r="L1416">
        <v>4.3</v>
      </c>
    </row>
    <row r="1417" spans="1:12"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1012</v>
      </c>
      <c r="C1430" t="s">
        <v>12</v>
      </c>
      <c r="D1430">
        <v>2012</v>
      </c>
      <c r="E1430" t="s">
        <v>13</v>
      </c>
      <c r="F1430" t="s">
        <v>14</v>
      </c>
      <c r="G1430" t="s">
        <v>15</v>
      </c>
      <c r="H1430" t="s">
        <v>16</v>
      </c>
      <c r="I1430">
        <v>0</v>
      </c>
      <c r="J1430">
        <v>15.35</v>
      </c>
      <c r="K1430">
        <v>193.0504</v>
      </c>
      <c r="L1430">
        <v>4.3</v>
      </c>
    </row>
    <row r="1431" spans="1:12"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
      <c r="A1432" t="s">
        <v>10</v>
      </c>
      <c r="B1432" t="s">
        <v>1013</v>
      </c>
      <c r="C1432" t="s">
        <v>54</v>
      </c>
      <c r="D1432">
        <v>2012</v>
      </c>
      <c r="E1432" t="s">
        <v>13</v>
      </c>
      <c r="F1432" t="s">
        <v>14</v>
      </c>
      <c r="G1432" t="s">
        <v>15</v>
      </c>
      <c r="H1432" t="s">
        <v>16</v>
      </c>
      <c r="I1432">
        <v>0.158715731</v>
      </c>
      <c r="J1432">
        <v>12.35</v>
      </c>
      <c r="K1432">
        <v>157.2946</v>
      </c>
      <c r="L1432">
        <v>4.3</v>
      </c>
    </row>
    <row r="1433" spans="1:12" x14ac:dyDescent="0.3">
      <c r="A1433" t="s">
        <v>10</v>
      </c>
      <c r="B1433" t="s">
        <v>1014</v>
      </c>
      <c r="C1433" t="s">
        <v>54</v>
      </c>
      <c r="D1433">
        <v>2012</v>
      </c>
      <c r="E1433" t="s">
        <v>13</v>
      </c>
      <c r="F1433" t="s">
        <v>14</v>
      </c>
      <c r="G1433" t="s">
        <v>15</v>
      </c>
      <c r="H1433" t="s">
        <v>16</v>
      </c>
      <c r="I1433">
        <v>0</v>
      </c>
      <c r="J1433">
        <v>15</v>
      </c>
      <c r="K1433">
        <v>235.62479999999999</v>
      </c>
      <c r="L1433">
        <v>4.3</v>
      </c>
    </row>
    <row r="1434" spans="1:12"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x14ac:dyDescent="0.3">
      <c r="A1461" t="s">
        <v>10</v>
      </c>
      <c r="B1461" t="s">
        <v>421</v>
      </c>
      <c r="C1461" t="s">
        <v>95</v>
      </c>
      <c r="D1461">
        <v>2018</v>
      </c>
      <c r="E1461" t="s">
        <v>138</v>
      </c>
      <c r="F1461" t="s">
        <v>14</v>
      </c>
      <c r="G1461" t="s">
        <v>26</v>
      </c>
      <c r="H1461" t="s">
        <v>40</v>
      </c>
      <c r="I1461">
        <v>0.24540738600000001</v>
      </c>
      <c r="K1461">
        <v>92.811999999999998</v>
      </c>
      <c r="L1461">
        <v>4.3</v>
      </c>
    </row>
    <row r="1462" spans="1:12" x14ac:dyDescent="0.3">
      <c r="A1462" t="s">
        <v>10</v>
      </c>
      <c r="B1462" t="s">
        <v>937</v>
      </c>
      <c r="C1462" t="s">
        <v>74</v>
      </c>
      <c r="D1462">
        <v>2018</v>
      </c>
      <c r="E1462" t="s">
        <v>138</v>
      </c>
      <c r="F1462" t="s">
        <v>14</v>
      </c>
      <c r="G1462" t="s">
        <v>26</v>
      </c>
      <c r="H1462" t="s">
        <v>40</v>
      </c>
      <c r="I1462">
        <v>0.107110465</v>
      </c>
      <c r="K1462">
        <v>55.558799999999998</v>
      </c>
      <c r="L1462">
        <v>4.3</v>
      </c>
    </row>
    <row r="1463" spans="1:12" x14ac:dyDescent="0.3">
      <c r="A1463" t="s">
        <v>10</v>
      </c>
      <c r="B1463" t="s">
        <v>701</v>
      </c>
      <c r="C1463" t="s">
        <v>67</v>
      </c>
      <c r="D1463">
        <v>2018</v>
      </c>
      <c r="E1463" t="s">
        <v>138</v>
      </c>
      <c r="F1463" t="s">
        <v>14</v>
      </c>
      <c r="G1463" t="s">
        <v>26</v>
      </c>
      <c r="H1463" t="s">
        <v>40</v>
      </c>
      <c r="I1463">
        <v>0</v>
      </c>
      <c r="K1463">
        <v>55.9298</v>
      </c>
      <c r="L1463">
        <v>4.3</v>
      </c>
    </row>
    <row r="1464" spans="1:12" x14ac:dyDescent="0.3">
      <c r="A1464" t="s">
        <v>10</v>
      </c>
      <c r="B1464" t="s">
        <v>190</v>
      </c>
      <c r="C1464" t="s">
        <v>24</v>
      </c>
      <c r="D1464">
        <v>2018</v>
      </c>
      <c r="E1464" t="s">
        <v>138</v>
      </c>
      <c r="F1464" t="s">
        <v>14</v>
      </c>
      <c r="G1464" t="s">
        <v>26</v>
      </c>
      <c r="H1464" t="s">
        <v>40</v>
      </c>
      <c r="I1464">
        <v>7.2786429999999999E-2</v>
      </c>
      <c r="K1464">
        <v>49.437600000000003</v>
      </c>
      <c r="L1464">
        <v>4.3</v>
      </c>
    </row>
    <row r="1465" spans="1:12" x14ac:dyDescent="0.3">
      <c r="A1465" t="s">
        <v>10</v>
      </c>
      <c r="B1465" t="s">
        <v>678</v>
      </c>
      <c r="C1465" t="s">
        <v>12</v>
      </c>
      <c r="D1465">
        <v>2018</v>
      </c>
      <c r="E1465" t="s">
        <v>138</v>
      </c>
      <c r="F1465" t="s">
        <v>14</v>
      </c>
      <c r="G1465" t="s">
        <v>26</v>
      </c>
      <c r="H1465" t="s">
        <v>40</v>
      </c>
      <c r="I1465">
        <v>8.7692636000000004E-2</v>
      </c>
      <c r="K1465">
        <v>162.55260000000001</v>
      </c>
      <c r="L1465">
        <v>4.3</v>
      </c>
    </row>
    <row r="1466" spans="1:12" x14ac:dyDescent="0.3">
      <c r="A1466" t="s">
        <v>10</v>
      </c>
      <c r="B1466" t="s">
        <v>924</v>
      </c>
      <c r="C1466" t="s">
        <v>12</v>
      </c>
      <c r="D1466">
        <v>2018</v>
      </c>
      <c r="E1466" t="s">
        <v>138</v>
      </c>
      <c r="F1466" t="s">
        <v>14</v>
      </c>
      <c r="G1466" t="s">
        <v>26</v>
      </c>
      <c r="H1466" t="s">
        <v>40</v>
      </c>
      <c r="I1466">
        <v>8.6905536000000005E-2</v>
      </c>
      <c r="K1466">
        <v>78.864400000000003</v>
      </c>
      <c r="L1466">
        <v>4.3</v>
      </c>
    </row>
    <row r="1467" spans="1:12" x14ac:dyDescent="0.3">
      <c r="A1467" t="s">
        <v>10</v>
      </c>
      <c r="B1467" t="s">
        <v>1026</v>
      </c>
      <c r="C1467" t="s">
        <v>12</v>
      </c>
      <c r="D1467">
        <v>2018</v>
      </c>
      <c r="E1467" t="s">
        <v>138</v>
      </c>
      <c r="F1467" t="s">
        <v>14</v>
      </c>
      <c r="G1467" t="s">
        <v>26</v>
      </c>
      <c r="H1467" t="s">
        <v>40</v>
      </c>
      <c r="I1467">
        <v>0.28952283299999998</v>
      </c>
      <c r="K1467">
        <v>172.07640000000001</v>
      </c>
      <c r="L1467">
        <v>4.3</v>
      </c>
    </row>
    <row r="1468" spans="1:12" x14ac:dyDescent="0.3">
      <c r="A1468" t="s">
        <v>10</v>
      </c>
      <c r="B1468" t="s">
        <v>1027</v>
      </c>
      <c r="C1468" t="s">
        <v>12</v>
      </c>
      <c r="D1468">
        <v>2018</v>
      </c>
      <c r="E1468" t="s">
        <v>138</v>
      </c>
      <c r="F1468" t="s">
        <v>14</v>
      </c>
      <c r="G1468" t="s">
        <v>26</v>
      </c>
      <c r="H1468" t="s">
        <v>40</v>
      </c>
      <c r="I1468">
        <v>8.1605462000000004E-2</v>
      </c>
      <c r="K1468">
        <v>122.33880000000001</v>
      </c>
      <c r="L1468">
        <v>4.3</v>
      </c>
    </row>
    <row r="1469" spans="1:12" x14ac:dyDescent="0.3">
      <c r="A1469" t="s">
        <v>10</v>
      </c>
      <c r="B1469" t="s">
        <v>1028</v>
      </c>
      <c r="C1469" t="s">
        <v>12</v>
      </c>
      <c r="D1469">
        <v>2018</v>
      </c>
      <c r="E1469" t="s">
        <v>138</v>
      </c>
      <c r="F1469" t="s">
        <v>14</v>
      </c>
      <c r="G1469" t="s">
        <v>26</v>
      </c>
      <c r="H1469" t="s">
        <v>40</v>
      </c>
      <c r="I1469">
        <v>0.12966857800000001</v>
      </c>
      <c r="K1469">
        <v>206.8638</v>
      </c>
      <c r="L1469">
        <v>4.3</v>
      </c>
    </row>
    <row r="1470" spans="1:12" x14ac:dyDescent="0.3">
      <c r="A1470" t="s">
        <v>10</v>
      </c>
      <c r="B1470" t="s">
        <v>1029</v>
      </c>
      <c r="C1470" t="s">
        <v>54</v>
      </c>
      <c r="D1470">
        <v>2018</v>
      </c>
      <c r="E1470" t="s">
        <v>138</v>
      </c>
      <c r="F1470" t="s">
        <v>14</v>
      </c>
      <c r="G1470" t="s">
        <v>26</v>
      </c>
      <c r="H1470" t="s">
        <v>40</v>
      </c>
      <c r="I1470">
        <v>0.10697116700000001</v>
      </c>
      <c r="K1470">
        <v>44.7744</v>
      </c>
      <c r="L1470">
        <v>4.3</v>
      </c>
    </row>
    <row r="1471" spans="1:12" x14ac:dyDescent="0.3">
      <c r="A1471" t="s">
        <v>10</v>
      </c>
      <c r="B1471" t="s">
        <v>810</v>
      </c>
      <c r="C1471" t="s">
        <v>48</v>
      </c>
      <c r="D1471">
        <v>2018</v>
      </c>
      <c r="E1471" t="s">
        <v>138</v>
      </c>
      <c r="F1471" t="s">
        <v>14</v>
      </c>
      <c r="G1471" t="s">
        <v>26</v>
      </c>
      <c r="H1471" t="s">
        <v>40</v>
      </c>
      <c r="I1471">
        <v>7.8758649E-2</v>
      </c>
      <c r="K1471">
        <v>103.0016</v>
      </c>
      <c r="L1471">
        <v>4.3</v>
      </c>
    </row>
    <row r="1472" spans="1:12" x14ac:dyDescent="0.3">
      <c r="A1472" t="s">
        <v>10</v>
      </c>
      <c r="B1472" t="s">
        <v>1030</v>
      </c>
      <c r="C1472" t="s">
        <v>48</v>
      </c>
      <c r="D1472">
        <v>2018</v>
      </c>
      <c r="E1472" t="s">
        <v>138</v>
      </c>
      <c r="F1472" t="s">
        <v>14</v>
      </c>
      <c r="G1472" t="s">
        <v>26</v>
      </c>
      <c r="H1472" t="s">
        <v>40</v>
      </c>
      <c r="I1472">
        <v>0.22417463000000001</v>
      </c>
      <c r="K1472">
        <v>168.88159999999999</v>
      </c>
      <c r="L1472">
        <v>4.3</v>
      </c>
    </row>
    <row r="1473" spans="1:12" x14ac:dyDescent="0.3">
      <c r="A1473" t="s">
        <v>10</v>
      </c>
      <c r="B1473" t="s">
        <v>1031</v>
      </c>
      <c r="C1473" t="s">
        <v>48</v>
      </c>
      <c r="D1473">
        <v>2018</v>
      </c>
      <c r="E1473" t="s">
        <v>138</v>
      </c>
      <c r="F1473" t="s">
        <v>14</v>
      </c>
      <c r="G1473" t="s">
        <v>26</v>
      </c>
      <c r="H1473" t="s">
        <v>40</v>
      </c>
      <c r="I1473">
        <v>7.3462632E-2</v>
      </c>
      <c r="K1473">
        <v>52.363999999999997</v>
      </c>
      <c r="L1473">
        <v>4.3</v>
      </c>
    </row>
    <row r="1474" spans="1:12"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
      <c r="A1516" t="s">
        <v>10</v>
      </c>
      <c r="B1516" t="s">
        <v>263</v>
      </c>
      <c r="C1516" t="s">
        <v>95</v>
      </c>
      <c r="D1516">
        <v>2016</v>
      </c>
      <c r="E1516" t="s">
        <v>25</v>
      </c>
      <c r="F1516" t="s">
        <v>14</v>
      </c>
      <c r="G1516" t="s">
        <v>26</v>
      </c>
      <c r="H1516" t="s">
        <v>16</v>
      </c>
      <c r="I1516">
        <v>4.4023212999999999E-2</v>
      </c>
      <c r="J1516">
        <v>7.52</v>
      </c>
      <c r="K1516">
        <v>183.095</v>
      </c>
      <c r="L1516">
        <v>4.3</v>
      </c>
    </row>
    <row r="1517" spans="1:12"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
      <c r="A1523" t="s">
        <v>10</v>
      </c>
      <c r="B1523" t="s">
        <v>776</v>
      </c>
      <c r="C1523" t="s">
        <v>57</v>
      </c>
      <c r="D1523">
        <v>2016</v>
      </c>
      <c r="E1523" t="s">
        <v>25</v>
      </c>
      <c r="F1523" t="s">
        <v>14</v>
      </c>
      <c r="G1523" t="s">
        <v>26</v>
      </c>
      <c r="H1523" t="s">
        <v>16</v>
      </c>
      <c r="I1523">
        <v>5.6465714E-2</v>
      </c>
      <c r="J1523">
        <v>20.85</v>
      </c>
      <c r="K1523">
        <v>103.6648</v>
      </c>
      <c r="L1523">
        <v>4.3</v>
      </c>
    </row>
    <row r="1524" spans="1:12"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
      <c r="A1526" t="s">
        <v>10</v>
      </c>
      <c r="B1526" t="s">
        <v>1050</v>
      </c>
      <c r="C1526" t="s">
        <v>28</v>
      </c>
      <c r="D1526">
        <v>2016</v>
      </c>
      <c r="E1526" t="s">
        <v>25</v>
      </c>
      <c r="F1526" t="s">
        <v>14</v>
      </c>
      <c r="G1526" t="s">
        <v>26</v>
      </c>
      <c r="H1526" t="s">
        <v>16</v>
      </c>
      <c r="I1526">
        <v>2.6568874999999999E-2</v>
      </c>
      <c r="J1526">
        <v>17</v>
      </c>
      <c r="K1526">
        <v>142.047</v>
      </c>
      <c r="L1526">
        <v>4.3</v>
      </c>
    </row>
    <row r="1527" spans="1:12"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1053</v>
      </c>
      <c r="C1530" t="s">
        <v>12</v>
      </c>
      <c r="D1530">
        <v>2016</v>
      </c>
      <c r="E1530" t="s">
        <v>25</v>
      </c>
      <c r="F1530" t="s">
        <v>14</v>
      </c>
      <c r="G1530" t="s">
        <v>26</v>
      </c>
      <c r="H1530" t="s">
        <v>16</v>
      </c>
      <c r="I1530">
        <v>0</v>
      </c>
      <c r="J1530">
        <v>6.78</v>
      </c>
      <c r="K1530">
        <v>227.46940000000001</v>
      </c>
      <c r="L1530">
        <v>4.3</v>
      </c>
    </row>
    <row r="1531" spans="1:12"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
      <c r="A1616" t="s">
        <v>10</v>
      </c>
      <c r="B1616" t="s">
        <v>456</v>
      </c>
      <c r="C1616" t="s">
        <v>67</v>
      </c>
      <c r="D1616">
        <v>2015</v>
      </c>
      <c r="E1616" t="s">
        <v>33</v>
      </c>
      <c r="F1616" t="s">
        <v>34</v>
      </c>
      <c r="G1616" t="s">
        <v>30</v>
      </c>
      <c r="H1616" t="s">
        <v>16</v>
      </c>
      <c r="I1616">
        <v>0</v>
      </c>
      <c r="J1616">
        <v>4.8049999999999997</v>
      </c>
      <c r="K1616">
        <v>123.9704</v>
      </c>
      <c r="L1616">
        <v>4.3</v>
      </c>
    </row>
    <row r="1617" spans="1:12"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1091</v>
      </c>
      <c r="C1620" t="s">
        <v>24</v>
      </c>
      <c r="D1620">
        <v>2015</v>
      </c>
      <c r="E1620" t="s">
        <v>33</v>
      </c>
      <c r="F1620" t="s">
        <v>34</v>
      </c>
      <c r="G1620" t="s">
        <v>30</v>
      </c>
      <c r="H1620" t="s">
        <v>16</v>
      </c>
      <c r="I1620">
        <v>0</v>
      </c>
      <c r="J1620">
        <v>19.25</v>
      </c>
      <c r="K1620">
        <v>82.590800000000002</v>
      </c>
      <c r="L1620">
        <v>4.3</v>
      </c>
    </row>
    <row r="1621" spans="1:12"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
      <c r="A1631" t="s">
        <v>10</v>
      </c>
      <c r="B1631" t="s">
        <v>983</v>
      </c>
      <c r="C1631" t="s">
        <v>57</v>
      </c>
      <c r="D1631">
        <v>2020</v>
      </c>
      <c r="E1631" t="s">
        <v>37</v>
      </c>
      <c r="F1631" t="s">
        <v>34</v>
      </c>
      <c r="G1631" t="s">
        <v>30</v>
      </c>
      <c r="H1631" t="s">
        <v>16</v>
      </c>
      <c r="I1631">
        <v>2.2404493000000001E-2</v>
      </c>
      <c r="J1631">
        <v>9.6</v>
      </c>
      <c r="K1631">
        <v>102.499</v>
      </c>
      <c r="L1631">
        <v>4.3</v>
      </c>
    </row>
    <row r="1632" spans="1:12"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
      <c r="A1636" t="s">
        <v>10</v>
      </c>
      <c r="B1636" t="s">
        <v>825</v>
      </c>
      <c r="C1636" t="s">
        <v>67</v>
      </c>
      <c r="D1636">
        <v>2020</v>
      </c>
      <c r="E1636" t="s">
        <v>37</v>
      </c>
      <c r="F1636" t="s">
        <v>34</v>
      </c>
      <c r="G1636" t="s">
        <v>30</v>
      </c>
      <c r="H1636" t="s">
        <v>16</v>
      </c>
      <c r="I1636">
        <v>0.119850541</v>
      </c>
      <c r="J1636">
        <v>13.6</v>
      </c>
      <c r="K1636">
        <v>234.53</v>
      </c>
      <c r="L1636">
        <v>4.3</v>
      </c>
    </row>
    <row r="1637" spans="1:12"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570</v>
      </c>
      <c r="C1642" t="s">
        <v>54</v>
      </c>
      <c r="D1642">
        <v>2020</v>
      </c>
      <c r="E1642" t="s">
        <v>37</v>
      </c>
      <c r="F1642" t="s">
        <v>34</v>
      </c>
      <c r="G1642" t="s">
        <v>15</v>
      </c>
      <c r="H1642" t="s">
        <v>16</v>
      </c>
      <c r="I1642">
        <v>0.122565413</v>
      </c>
      <c r="J1642">
        <v>17.7</v>
      </c>
      <c r="K1642">
        <v>103.8674</v>
      </c>
      <c r="L1642">
        <v>4.3</v>
      </c>
    </row>
    <row r="1643" spans="1:12"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
      <c r="A1645" t="s">
        <v>10</v>
      </c>
      <c r="B1645" t="s">
        <v>1099</v>
      </c>
      <c r="C1645" t="s">
        <v>48</v>
      </c>
      <c r="D1645">
        <v>2020</v>
      </c>
      <c r="E1645" t="s">
        <v>37</v>
      </c>
      <c r="F1645" t="s">
        <v>34</v>
      </c>
      <c r="G1645" t="s">
        <v>15</v>
      </c>
      <c r="H1645" t="s">
        <v>16</v>
      </c>
      <c r="I1645">
        <v>3.7977917E-2</v>
      </c>
      <c r="J1645">
        <v>10</v>
      </c>
      <c r="K1645">
        <v>128.6994</v>
      </c>
      <c r="L1645">
        <v>4.3</v>
      </c>
    </row>
    <row r="1646" spans="1:12"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
      <c r="A1650" t="s">
        <v>10</v>
      </c>
      <c r="B1650" t="s">
        <v>319</v>
      </c>
      <c r="C1650" t="s">
        <v>48</v>
      </c>
      <c r="D1650">
        <v>2020</v>
      </c>
      <c r="E1650" t="s">
        <v>37</v>
      </c>
      <c r="F1650" t="s">
        <v>34</v>
      </c>
      <c r="G1650" t="s">
        <v>15</v>
      </c>
      <c r="H1650" t="s">
        <v>16</v>
      </c>
      <c r="I1650">
        <v>0.10589166999999999</v>
      </c>
      <c r="J1650">
        <v>15.6</v>
      </c>
      <c r="K1650">
        <v>172.6764</v>
      </c>
      <c r="L1650">
        <v>4.3</v>
      </c>
    </row>
    <row r="1651" spans="1:12"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x14ac:dyDescent="0.3">
      <c r="A1696" t="s">
        <v>10</v>
      </c>
      <c r="B1696" t="s">
        <v>1119</v>
      </c>
      <c r="C1696" t="s">
        <v>95</v>
      </c>
      <c r="D1696">
        <v>2017</v>
      </c>
      <c r="E1696" t="s">
        <v>50</v>
      </c>
      <c r="F1696" t="s">
        <v>34</v>
      </c>
      <c r="G1696" t="s">
        <v>26</v>
      </c>
      <c r="H1696" t="s">
        <v>16</v>
      </c>
      <c r="I1696">
        <v>0</v>
      </c>
      <c r="J1696">
        <v>4.88</v>
      </c>
      <c r="K1696">
        <v>53.129800000000003</v>
      </c>
      <c r="L1696">
        <v>4.3</v>
      </c>
    </row>
    <row r="1697" spans="1:12"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
      <c r="A1698" t="s">
        <v>10</v>
      </c>
      <c r="B1698" t="s">
        <v>250</v>
      </c>
      <c r="C1698" t="s">
        <v>28</v>
      </c>
      <c r="D1698">
        <v>2017</v>
      </c>
      <c r="E1698" t="s">
        <v>50</v>
      </c>
      <c r="F1698" t="s">
        <v>34</v>
      </c>
      <c r="G1698" t="s">
        <v>26</v>
      </c>
      <c r="H1698" t="s">
        <v>16</v>
      </c>
      <c r="I1698">
        <v>0</v>
      </c>
      <c r="J1698">
        <v>8.42</v>
      </c>
      <c r="K1698">
        <v>229.0352</v>
      </c>
      <c r="L1698">
        <v>4.3</v>
      </c>
    </row>
    <row r="1699" spans="1:12"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
      <c r="A1707" t="s">
        <v>10</v>
      </c>
      <c r="B1707" t="s">
        <v>434</v>
      </c>
      <c r="C1707" t="s">
        <v>24</v>
      </c>
      <c r="D1707">
        <v>2017</v>
      </c>
      <c r="E1707" t="s">
        <v>50</v>
      </c>
      <c r="F1707" t="s">
        <v>34</v>
      </c>
      <c r="G1707" t="s">
        <v>26</v>
      </c>
      <c r="H1707" t="s">
        <v>16</v>
      </c>
      <c r="I1707">
        <v>0</v>
      </c>
      <c r="J1707">
        <v>11.8</v>
      </c>
      <c r="K1707">
        <v>179.23439999999999</v>
      </c>
      <c r="L1707">
        <v>4.3</v>
      </c>
    </row>
    <row r="1708" spans="1:12"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
      <c r="A1719" t="s">
        <v>10</v>
      </c>
      <c r="B1719" t="s">
        <v>1101</v>
      </c>
      <c r="C1719" t="s">
        <v>48</v>
      </c>
      <c r="D1719">
        <v>2017</v>
      </c>
      <c r="E1719" t="s">
        <v>50</v>
      </c>
      <c r="F1719" t="s">
        <v>34</v>
      </c>
      <c r="G1719" t="s">
        <v>26</v>
      </c>
      <c r="H1719" t="s">
        <v>16</v>
      </c>
      <c r="I1719">
        <v>0</v>
      </c>
      <c r="J1719">
        <v>20.6</v>
      </c>
      <c r="K1719">
        <v>178.1344</v>
      </c>
      <c r="L1719">
        <v>4.3</v>
      </c>
    </row>
    <row r="1720" spans="1:12"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x14ac:dyDescent="0.3">
      <c r="A1758" t="s">
        <v>10</v>
      </c>
      <c r="B1758" t="s">
        <v>462</v>
      </c>
      <c r="C1758" t="s">
        <v>48</v>
      </c>
      <c r="D1758">
        <v>2011</v>
      </c>
      <c r="E1758" t="s">
        <v>39</v>
      </c>
      <c r="F1758" t="s">
        <v>21</v>
      </c>
      <c r="G1758" t="s">
        <v>30</v>
      </c>
      <c r="H1758" t="s">
        <v>40</v>
      </c>
      <c r="I1758">
        <v>0</v>
      </c>
      <c r="J1758">
        <v>9.5</v>
      </c>
      <c r="K1758">
        <v>182.36080000000001</v>
      </c>
      <c r="L1758">
        <v>4.3</v>
      </c>
    </row>
    <row r="1759" spans="1:12"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
      <c r="A1804" t="s">
        <v>10</v>
      </c>
      <c r="B1804" t="s">
        <v>904</v>
      </c>
      <c r="C1804" t="s">
        <v>95</v>
      </c>
      <c r="D1804">
        <v>2014</v>
      </c>
      <c r="E1804" t="s">
        <v>29</v>
      </c>
      <c r="F1804" t="s">
        <v>21</v>
      </c>
      <c r="G1804" t="s">
        <v>30</v>
      </c>
      <c r="H1804" t="s">
        <v>16</v>
      </c>
      <c r="I1804">
        <v>0.103935018</v>
      </c>
      <c r="J1804">
        <v>6.63</v>
      </c>
      <c r="K1804">
        <v>166.85</v>
      </c>
      <c r="L1804">
        <v>4.3</v>
      </c>
    </row>
    <row r="1805" spans="1:12"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1055</v>
      </c>
      <c r="C1820" t="s">
        <v>12</v>
      </c>
      <c r="D1820">
        <v>2014</v>
      </c>
      <c r="E1820" t="s">
        <v>29</v>
      </c>
      <c r="F1820" t="s">
        <v>21</v>
      </c>
      <c r="G1820" t="s">
        <v>30</v>
      </c>
      <c r="H1820" t="s">
        <v>16</v>
      </c>
      <c r="I1820">
        <v>0.10336390400000001</v>
      </c>
      <c r="J1820">
        <v>19</v>
      </c>
      <c r="K1820">
        <v>226.172</v>
      </c>
      <c r="L1820">
        <v>4.3</v>
      </c>
    </row>
    <row r="1821" spans="1:12"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x14ac:dyDescent="0.3">
      <c r="A1826" t="s">
        <v>10</v>
      </c>
      <c r="B1826" t="s">
        <v>458</v>
      </c>
      <c r="C1826" t="s">
        <v>48</v>
      </c>
      <c r="D1826">
        <v>2014</v>
      </c>
      <c r="E1826" t="s">
        <v>29</v>
      </c>
      <c r="F1826" t="s">
        <v>21</v>
      </c>
      <c r="G1826" t="s">
        <v>30</v>
      </c>
      <c r="H1826" t="s">
        <v>16</v>
      </c>
      <c r="I1826">
        <v>0</v>
      </c>
      <c r="J1826">
        <v>15.6</v>
      </c>
      <c r="K1826">
        <v>170.61320000000001</v>
      </c>
      <c r="L1826">
        <v>4.3</v>
      </c>
    </row>
    <row r="1827" spans="1:12"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
      <c r="A1877" t="s">
        <v>10</v>
      </c>
      <c r="B1877" t="s">
        <v>154</v>
      </c>
      <c r="C1877" t="s">
        <v>74</v>
      </c>
      <c r="D1877">
        <v>2022</v>
      </c>
      <c r="E1877" t="s">
        <v>20</v>
      </c>
      <c r="F1877" t="s">
        <v>21</v>
      </c>
      <c r="G1877" t="s">
        <v>15</v>
      </c>
      <c r="H1877" t="s">
        <v>22</v>
      </c>
      <c r="I1877">
        <v>5.6547986000000001E-2</v>
      </c>
      <c r="J1877">
        <v>13.85</v>
      </c>
      <c r="K1877">
        <v>232.73</v>
      </c>
      <c r="L1877">
        <v>4.3</v>
      </c>
    </row>
    <row r="1878" spans="1:12" x14ac:dyDescent="0.3">
      <c r="A1878" t="s">
        <v>10</v>
      </c>
      <c r="B1878" t="s">
        <v>1175</v>
      </c>
      <c r="C1878" t="s">
        <v>28</v>
      </c>
      <c r="D1878">
        <v>2022</v>
      </c>
      <c r="E1878" t="s">
        <v>20</v>
      </c>
      <c r="F1878" t="s">
        <v>21</v>
      </c>
      <c r="G1878" t="s">
        <v>15</v>
      </c>
      <c r="H1878" t="s">
        <v>22</v>
      </c>
      <c r="I1878">
        <v>5.5451725E-2</v>
      </c>
      <c r="J1878">
        <v>7.81</v>
      </c>
      <c r="K1878">
        <v>122.6046</v>
      </c>
      <c r="L1878">
        <v>4.3</v>
      </c>
    </row>
    <row r="1879" spans="1:12" x14ac:dyDescent="0.3">
      <c r="A1879" t="s">
        <v>10</v>
      </c>
      <c r="B1879" t="s">
        <v>1176</v>
      </c>
      <c r="C1879" t="s">
        <v>28</v>
      </c>
      <c r="D1879">
        <v>2022</v>
      </c>
      <c r="E1879" t="s">
        <v>20</v>
      </c>
      <c r="F1879" t="s">
        <v>21</v>
      </c>
      <c r="G1879" t="s">
        <v>15</v>
      </c>
      <c r="H1879" t="s">
        <v>22</v>
      </c>
      <c r="I1879">
        <v>0.13487073199999999</v>
      </c>
      <c r="J1879">
        <v>8.1</v>
      </c>
      <c r="K1879">
        <v>41.948</v>
      </c>
      <c r="L1879">
        <v>4.3</v>
      </c>
    </row>
    <row r="1880" spans="1:12"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884</v>
      </c>
      <c r="C1881" t="s">
        <v>28</v>
      </c>
      <c r="D1881">
        <v>2022</v>
      </c>
      <c r="E1881" t="s">
        <v>20</v>
      </c>
      <c r="F1881" t="s">
        <v>21</v>
      </c>
      <c r="G1881" t="s">
        <v>15</v>
      </c>
      <c r="H1881" t="s">
        <v>22</v>
      </c>
      <c r="I1881">
        <v>3.1573245999999999E-2</v>
      </c>
      <c r="J1881">
        <v>13.65</v>
      </c>
      <c r="K1881">
        <v>99.47</v>
      </c>
      <c r="L1881">
        <v>4.3</v>
      </c>
    </row>
    <row r="1882" spans="1:12"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1180</v>
      </c>
      <c r="C1891" t="s">
        <v>12</v>
      </c>
      <c r="D1891">
        <v>2022</v>
      </c>
      <c r="E1891" t="s">
        <v>20</v>
      </c>
      <c r="F1891" t="s">
        <v>21</v>
      </c>
      <c r="G1891" t="s">
        <v>15</v>
      </c>
      <c r="H1891" t="s">
        <v>22</v>
      </c>
      <c r="I1891">
        <v>0</v>
      </c>
      <c r="J1891">
        <v>7.72</v>
      </c>
      <c r="K1891">
        <v>117.7466</v>
      </c>
      <c r="L1891">
        <v>4.3</v>
      </c>
    </row>
    <row r="1892" spans="1:12"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768</v>
      </c>
      <c r="C1893" t="s">
        <v>12</v>
      </c>
      <c r="D1893">
        <v>2022</v>
      </c>
      <c r="E1893" t="s">
        <v>20</v>
      </c>
      <c r="F1893" t="s">
        <v>21</v>
      </c>
      <c r="G1893" t="s">
        <v>15</v>
      </c>
      <c r="H1893" t="s">
        <v>22</v>
      </c>
      <c r="I1893">
        <v>0</v>
      </c>
      <c r="J1893">
        <v>11.1</v>
      </c>
      <c r="K1893">
        <v>165.55260000000001</v>
      </c>
      <c r="L1893">
        <v>4.3</v>
      </c>
    </row>
    <row r="1894" spans="1:12"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157</v>
      </c>
      <c r="C1898" t="s">
        <v>54</v>
      </c>
      <c r="D1898">
        <v>2022</v>
      </c>
      <c r="E1898" t="s">
        <v>20</v>
      </c>
      <c r="F1898" t="s">
        <v>21</v>
      </c>
      <c r="G1898" t="s">
        <v>15</v>
      </c>
      <c r="H1898" t="s">
        <v>22</v>
      </c>
      <c r="I1898">
        <v>4.4432886999999997E-2</v>
      </c>
      <c r="J1898">
        <v>5.19</v>
      </c>
      <c r="K1898">
        <v>102.899</v>
      </c>
      <c r="L1898">
        <v>4.3</v>
      </c>
    </row>
    <row r="1899" spans="1:12"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x14ac:dyDescent="0.3">
      <c r="A1961" t="s">
        <v>10</v>
      </c>
      <c r="B1961" t="s">
        <v>1197</v>
      </c>
      <c r="C1961" t="s">
        <v>57</v>
      </c>
      <c r="D1961">
        <v>2018</v>
      </c>
      <c r="E1961" t="s">
        <v>45</v>
      </c>
      <c r="F1961" t="s">
        <v>21</v>
      </c>
      <c r="G1961" t="s">
        <v>15</v>
      </c>
      <c r="H1961" t="s">
        <v>46</v>
      </c>
      <c r="I1961">
        <v>7.5142107999999999E-2</v>
      </c>
      <c r="K1961">
        <v>145.84440000000001</v>
      </c>
      <c r="L1961">
        <v>4.3</v>
      </c>
    </row>
    <row r="1962" spans="1:12" x14ac:dyDescent="0.3">
      <c r="A1962" t="s">
        <v>10</v>
      </c>
      <c r="B1962" t="s">
        <v>936</v>
      </c>
      <c r="C1962" t="s">
        <v>57</v>
      </c>
      <c r="D1962">
        <v>2018</v>
      </c>
      <c r="E1962" t="s">
        <v>45</v>
      </c>
      <c r="F1962" t="s">
        <v>21</v>
      </c>
      <c r="G1962" t="s">
        <v>15</v>
      </c>
      <c r="H1962" t="s">
        <v>46</v>
      </c>
      <c r="I1962">
        <v>4.368089E-2</v>
      </c>
      <c r="K1962">
        <v>110.157</v>
      </c>
      <c r="L1962">
        <v>4.3</v>
      </c>
    </row>
    <row r="1963" spans="1:12" x14ac:dyDescent="0.3">
      <c r="A1963" t="s">
        <v>10</v>
      </c>
      <c r="B1963" t="s">
        <v>983</v>
      </c>
      <c r="C1963" t="s">
        <v>57</v>
      </c>
      <c r="D1963">
        <v>2018</v>
      </c>
      <c r="E1963" t="s">
        <v>45</v>
      </c>
      <c r="F1963" t="s">
        <v>21</v>
      </c>
      <c r="G1963" t="s">
        <v>15</v>
      </c>
      <c r="H1963" t="s">
        <v>46</v>
      </c>
      <c r="I1963">
        <v>2.2170591999999999E-2</v>
      </c>
      <c r="K1963">
        <v>105.199</v>
      </c>
      <c r="L1963">
        <v>4.3</v>
      </c>
    </row>
    <row r="1964" spans="1:12" x14ac:dyDescent="0.3">
      <c r="A1964" t="s">
        <v>10</v>
      </c>
      <c r="B1964" t="s">
        <v>160</v>
      </c>
      <c r="C1964" t="s">
        <v>28</v>
      </c>
      <c r="D1964">
        <v>2018</v>
      </c>
      <c r="E1964" t="s">
        <v>45</v>
      </c>
      <c r="F1964" t="s">
        <v>21</v>
      </c>
      <c r="G1964" t="s">
        <v>15</v>
      </c>
      <c r="H1964" t="s">
        <v>46</v>
      </c>
      <c r="I1964">
        <v>0</v>
      </c>
      <c r="K1964">
        <v>100.3674</v>
      </c>
      <c r="L1964">
        <v>4.3</v>
      </c>
    </row>
    <row r="1965" spans="1:12" x14ac:dyDescent="0.3">
      <c r="A1965" t="s">
        <v>10</v>
      </c>
      <c r="B1965" t="s">
        <v>775</v>
      </c>
      <c r="C1965" t="s">
        <v>28</v>
      </c>
      <c r="D1965">
        <v>2018</v>
      </c>
      <c r="E1965" t="s">
        <v>45</v>
      </c>
      <c r="F1965" t="s">
        <v>21</v>
      </c>
      <c r="G1965" t="s">
        <v>15</v>
      </c>
      <c r="H1965" t="s">
        <v>46</v>
      </c>
      <c r="I1965">
        <v>1.1937183000000001E-2</v>
      </c>
      <c r="K1965">
        <v>184.79239999999999</v>
      </c>
      <c r="L1965">
        <v>4.3</v>
      </c>
    </row>
    <row r="1966" spans="1:12" x14ac:dyDescent="0.3">
      <c r="A1966" t="s">
        <v>10</v>
      </c>
      <c r="B1966" t="s">
        <v>1122</v>
      </c>
      <c r="C1966" t="s">
        <v>24</v>
      </c>
      <c r="D1966">
        <v>2018</v>
      </c>
      <c r="E1966" t="s">
        <v>45</v>
      </c>
      <c r="F1966" t="s">
        <v>21</v>
      </c>
      <c r="G1966" t="s">
        <v>15</v>
      </c>
      <c r="H1966" t="s">
        <v>46</v>
      </c>
      <c r="I1966">
        <v>2.4088444000000001E-2</v>
      </c>
      <c r="K1966">
        <v>112.7176</v>
      </c>
      <c r="L1966">
        <v>4.3</v>
      </c>
    </row>
    <row r="1967" spans="1:12" x14ac:dyDescent="0.3">
      <c r="A1967" t="s">
        <v>10</v>
      </c>
      <c r="B1967" t="s">
        <v>1005</v>
      </c>
      <c r="C1967" t="s">
        <v>24</v>
      </c>
      <c r="D1967">
        <v>2018</v>
      </c>
      <c r="E1967" t="s">
        <v>45</v>
      </c>
      <c r="F1967" t="s">
        <v>21</v>
      </c>
      <c r="G1967" t="s">
        <v>15</v>
      </c>
      <c r="H1967" t="s">
        <v>46</v>
      </c>
      <c r="I1967">
        <v>8.6837543000000003E-2</v>
      </c>
      <c r="K1967">
        <v>106.2306</v>
      </c>
      <c r="L1967">
        <v>4.3</v>
      </c>
    </row>
    <row r="1968" spans="1:12" x14ac:dyDescent="0.3">
      <c r="A1968" t="s">
        <v>10</v>
      </c>
      <c r="B1968" t="s">
        <v>678</v>
      </c>
      <c r="C1968" t="s">
        <v>12</v>
      </c>
      <c r="D1968">
        <v>2018</v>
      </c>
      <c r="E1968" t="s">
        <v>45</v>
      </c>
      <c r="F1968" t="s">
        <v>21</v>
      </c>
      <c r="G1968" t="s">
        <v>15</v>
      </c>
      <c r="H1968" t="s">
        <v>46</v>
      </c>
      <c r="I1968">
        <v>4.9842613000000001E-2</v>
      </c>
      <c r="K1968">
        <v>164.2526</v>
      </c>
      <c r="L1968">
        <v>4.3</v>
      </c>
    </row>
    <row r="1969" spans="1:12" x14ac:dyDescent="0.3">
      <c r="A1969" t="s">
        <v>10</v>
      </c>
      <c r="B1969" t="s">
        <v>1011</v>
      </c>
      <c r="C1969" t="s">
        <v>12</v>
      </c>
      <c r="D1969">
        <v>2018</v>
      </c>
      <c r="E1969" t="s">
        <v>45</v>
      </c>
      <c r="F1969" t="s">
        <v>21</v>
      </c>
      <c r="G1969" t="s">
        <v>15</v>
      </c>
      <c r="H1969" t="s">
        <v>46</v>
      </c>
      <c r="I1969">
        <v>8.6983590999999999E-2</v>
      </c>
      <c r="K1969">
        <v>219.84559999999999</v>
      </c>
      <c r="L1969">
        <v>4.3</v>
      </c>
    </row>
    <row r="1970" spans="1:12" x14ac:dyDescent="0.3">
      <c r="A1970" t="s">
        <v>10</v>
      </c>
      <c r="B1970" t="s">
        <v>1198</v>
      </c>
      <c r="C1970" t="s">
        <v>12</v>
      </c>
      <c r="D1970">
        <v>2018</v>
      </c>
      <c r="E1970" t="s">
        <v>45</v>
      </c>
      <c r="F1970" t="s">
        <v>21</v>
      </c>
      <c r="G1970" t="s">
        <v>15</v>
      </c>
      <c r="H1970" t="s">
        <v>46</v>
      </c>
      <c r="I1970">
        <v>5.3586457999999997E-2</v>
      </c>
      <c r="K1970">
        <v>89.785600000000002</v>
      </c>
      <c r="L1970">
        <v>4.3</v>
      </c>
    </row>
    <row r="1971" spans="1:12" x14ac:dyDescent="0.3">
      <c r="A1971" t="s">
        <v>10</v>
      </c>
      <c r="B1971" t="s">
        <v>1199</v>
      </c>
      <c r="C1971" t="s">
        <v>54</v>
      </c>
      <c r="D1971">
        <v>2018</v>
      </c>
      <c r="E1971" t="s">
        <v>45</v>
      </c>
      <c r="F1971" t="s">
        <v>21</v>
      </c>
      <c r="G1971" t="s">
        <v>15</v>
      </c>
      <c r="H1971" t="s">
        <v>46</v>
      </c>
      <c r="I1971">
        <v>2.6949463E-2</v>
      </c>
      <c r="K1971">
        <v>197.71100000000001</v>
      </c>
      <c r="L1971">
        <v>4.3</v>
      </c>
    </row>
    <row r="1972" spans="1:12" x14ac:dyDescent="0.3">
      <c r="A1972" t="s">
        <v>10</v>
      </c>
      <c r="B1972" t="s">
        <v>1200</v>
      </c>
      <c r="C1972" t="s">
        <v>54</v>
      </c>
      <c r="D1972">
        <v>2018</v>
      </c>
      <c r="E1972" t="s">
        <v>45</v>
      </c>
      <c r="F1972" t="s">
        <v>21</v>
      </c>
      <c r="G1972" t="s">
        <v>15</v>
      </c>
      <c r="H1972" t="s">
        <v>46</v>
      </c>
      <c r="I1972">
        <v>0.178210285</v>
      </c>
      <c r="K1972">
        <v>95.775199999999998</v>
      </c>
      <c r="L1972">
        <v>4.3</v>
      </c>
    </row>
    <row r="1973" spans="1:12" x14ac:dyDescent="0.3">
      <c r="A1973" t="s">
        <v>10</v>
      </c>
      <c r="B1973" t="s">
        <v>1201</v>
      </c>
      <c r="C1973" t="s">
        <v>48</v>
      </c>
      <c r="D1973">
        <v>2018</v>
      </c>
      <c r="E1973" t="s">
        <v>45</v>
      </c>
      <c r="F1973" t="s">
        <v>21</v>
      </c>
      <c r="G1973" t="s">
        <v>15</v>
      </c>
      <c r="H1973" t="s">
        <v>46</v>
      </c>
      <c r="I1973">
        <v>8.7894475E-2</v>
      </c>
      <c r="K1973">
        <v>121.173</v>
      </c>
      <c r="L1973">
        <v>4.3</v>
      </c>
    </row>
    <row r="1974" spans="1:12" x14ac:dyDescent="0.3">
      <c r="A1974" t="s">
        <v>10</v>
      </c>
      <c r="B1974" t="s">
        <v>839</v>
      </c>
      <c r="C1974" t="s">
        <v>48</v>
      </c>
      <c r="D1974">
        <v>2018</v>
      </c>
      <c r="E1974" t="s">
        <v>45</v>
      </c>
      <c r="F1974" t="s">
        <v>21</v>
      </c>
      <c r="G1974" t="s">
        <v>15</v>
      </c>
      <c r="H1974" t="s">
        <v>46</v>
      </c>
      <c r="I1974">
        <v>2.5795293E-2</v>
      </c>
      <c r="K1974">
        <v>80.230199999999996</v>
      </c>
      <c r="L1974">
        <v>4.3</v>
      </c>
    </row>
    <row r="1975" spans="1:12" x14ac:dyDescent="0.3">
      <c r="A1975" t="s">
        <v>10</v>
      </c>
      <c r="B1975" t="s">
        <v>1202</v>
      </c>
      <c r="C1975" t="s">
        <v>48</v>
      </c>
      <c r="D1975">
        <v>2018</v>
      </c>
      <c r="E1975" t="s">
        <v>45</v>
      </c>
      <c r="F1975" t="s">
        <v>21</v>
      </c>
      <c r="G1975" t="s">
        <v>15</v>
      </c>
      <c r="H1975" t="s">
        <v>46</v>
      </c>
      <c r="I1975">
        <v>3.9031927000000001E-2</v>
      </c>
      <c r="K1975">
        <v>95.641000000000005</v>
      </c>
      <c r="L1975">
        <v>4.3</v>
      </c>
    </row>
    <row r="1976" spans="1:12"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901</v>
      </c>
      <c r="C1988" t="s">
        <v>24</v>
      </c>
      <c r="D1988">
        <v>2017</v>
      </c>
      <c r="E1988" t="s">
        <v>50</v>
      </c>
      <c r="F1988" t="s">
        <v>34</v>
      </c>
      <c r="G1988" t="s">
        <v>26</v>
      </c>
      <c r="H1988" t="s">
        <v>16</v>
      </c>
      <c r="I1988">
        <v>0</v>
      </c>
      <c r="J1988">
        <v>14</v>
      </c>
      <c r="K1988">
        <v>53.064</v>
      </c>
      <c r="L1988">
        <v>4.2</v>
      </c>
    </row>
    <row r="1989" spans="1:12"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1218</v>
      </c>
      <c r="C2018" t="s">
        <v>28</v>
      </c>
      <c r="D2018">
        <v>2018</v>
      </c>
      <c r="E2018" t="s">
        <v>138</v>
      </c>
      <c r="F2018" t="s">
        <v>14</v>
      </c>
      <c r="G2018" t="s">
        <v>26</v>
      </c>
      <c r="H2018" t="s">
        <v>40</v>
      </c>
      <c r="I2018">
        <v>0</v>
      </c>
      <c r="K2018">
        <v>160.69200000000001</v>
      </c>
      <c r="L2018">
        <v>4.2</v>
      </c>
    </row>
    <row r="2019" spans="1:12"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962</v>
      </c>
      <c r="C2041" t="s">
        <v>12</v>
      </c>
      <c r="D2041">
        <v>2018</v>
      </c>
      <c r="E2041" t="s">
        <v>45</v>
      </c>
      <c r="F2041" t="s">
        <v>21</v>
      </c>
      <c r="G2041" t="s">
        <v>15</v>
      </c>
      <c r="H2041" t="s">
        <v>46</v>
      </c>
      <c r="I2041">
        <v>5.8142797000000003E-2</v>
      </c>
      <c r="K2041">
        <v>162.15520000000001</v>
      </c>
      <c r="L2041">
        <v>4.2</v>
      </c>
    </row>
    <row r="2042" spans="1:12"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
      <c r="A2102" t="s">
        <v>10</v>
      </c>
      <c r="B2102" t="s">
        <v>513</v>
      </c>
      <c r="C2102" t="s">
        <v>24</v>
      </c>
      <c r="D2102">
        <v>2012</v>
      </c>
      <c r="E2102" t="s">
        <v>13</v>
      </c>
      <c r="F2102" t="s">
        <v>14</v>
      </c>
      <c r="G2102" t="s">
        <v>15</v>
      </c>
      <c r="H2102" t="s">
        <v>16</v>
      </c>
      <c r="I2102">
        <v>3.0294931000000001E-2</v>
      </c>
      <c r="J2102">
        <v>5.88</v>
      </c>
      <c r="K2102">
        <v>104.099</v>
      </c>
      <c r="L2102">
        <v>4.2</v>
      </c>
    </row>
    <row r="2103" spans="1:12"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317</v>
      </c>
      <c r="C2114" t="s">
        <v>54</v>
      </c>
      <c r="D2114">
        <v>2012</v>
      </c>
      <c r="E2114" t="s">
        <v>13</v>
      </c>
      <c r="F2114" t="s">
        <v>14</v>
      </c>
      <c r="G2114" t="s">
        <v>15</v>
      </c>
      <c r="H2114" t="s">
        <v>16</v>
      </c>
      <c r="I2114">
        <v>2.2093018999999998E-2</v>
      </c>
      <c r="J2114">
        <v>9.5</v>
      </c>
      <c r="K2114">
        <v>195.9452</v>
      </c>
      <c r="L2114">
        <v>4.2</v>
      </c>
    </row>
    <row r="2115" spans="1:12"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x14ac:dyDescent="0.3">
      <c r="A2142" t="s">
        <v>10</v>
      </c>
      <c r="B2142" t="s">
        <v>1254</v>
      </c>
      <c r="C2142" t="s">
        <v>28</v>
      </c>
      <c r="D2142">
        <v>2018</v>
      </c>
      <c r="E2142" t="s">
        <v>138</v>
      </c>
      <c r="F2142" t="s">
        <v>14</v>
      </c>
      <c r="G2142" t="s">
        <v>26</v>
      </c>
      <c r="H2142" t="s">
        <v>40</v>
      </c>
      <c r="I2142">
        <v>8.1955735000000002E-2</v>
      </c>
      <c r="K2142">
        <v>142.0838</v>
      </c>
      <c r="L2142">
        <v>4.2</v>
      </c>
    </row>
    <row r="2143" spans="1:12" x14ac:dyDescent="0.3">
      <c r="A2143" t="s">
        <v>10</v>
      </c>
      <c r="B2143" t="s">
        <v>955</v>
      </c>
      <c r="C2143" t="s">
        <v>67</v>
      </c>
      <c r="D2143">
        <v>2018</v>
      </c>
      <c r="E2143" t="s">
        <v>138</v>
      </c>
      <c r="F2143" t="s">
        <v>14</v>
      </c>
      <c r="G2143" t="s">
        <v>26</v>
      </c>
      <c r="H2143" t="s">
        <v>40</v>
      </c>
      <c r="I2143">
        <v>0.168901843</v>
      </c>
      <c r="K2143">
        <v>43.4086</v>
      </c>
      <c r="L2143">
        <v>4.2</v>
      </c>
    </row>
    <row r="2144" spans="1:12" x14ac:dyDescent="0.3">
      <c r="A2144" t="s">
        <v>10</v>
      </c>
      <c r="B2144" t="s">
        <v>1255</v>
      </c>
      <c r="C2144" t="s">
        <v>24</v>
      </c>
      <c r="D2144">
        <v>2018</v>
      </c>
      <c r="E2144" t="s">
        <v>138</v>
      </c>
      <c r="F2144" t="s">
        <v>14</v>
      </c>
      <c r="G2144" t="s">
        <v>26</v>
      </c>
      <c r="H2144" t="s">
        <v>40</v>
      </c>
      <c r="I2144">
        <v>8.0697998000000007E-2</v>
      </c>
      <c r="K2144">
        <v>39.8506</v>
      </c>
      <c r="L2144">
        <v>4.2</v>
      </c>
    </row>
    <row r="2145" spans="1:12" x14ac:dyDescent="0.3">
      <c r="A2145" t="s">
        <v>10</v>
      </c>
      <c r="B2145" t="s">
        <v>939</v>
      </c>
      <c r="C2145" t="s">
        <v>24</v>
      </c>
      <c r="D2145">
        <v>2018</v>
      </c>
      <c r="E2145" t="s">
        <v>138</v>
      </c>
      <c r="F2145" t="s">
        <v>14</v>
      </c>
      <c r="G2145" t="s">
        <v>26</v>
      </c>
      <c r="H2145" t="s">
        <v>40</v>
      </c>
      <c r="I2145">
        <v>0.26639670999999998</v>
      </c>
      <c r="K2145">
        <v>215.62180000000001</v>
      </c>
      <c r="L2145">
        <v>4.2</v>
      </c>
    </row>
    <row r="2146" spans="1:12" x14ac:dyDescent="0.3">
      <c r="A2146" t="s">
        <v>10</v>
      </c>
      <c r="B2146" t="s">
        <v>272</v>
      </c>
      <c r="C2146" t="s">
        <v>12</v>
      </c>
      <c r="D2146">
        <v>2018</v>
      </c>
      <c r="E2146" t="s">
        <v>138</v>
      </c>
      <c r="F2146" t="s">
        <v>14</v>
      </c>
      <c r="G2146" t="s">
        <v>26</v>
      </c>
      <c r="H2146" t="s">
        <v>40</v>
      </c>
      <c r="I2146">
        <v>0.27873064199999997</v>
      </c>
      <c r="K2146">
        <v>63.2194</v>
      </c>
      <c r="L2146">
        <v>4.2</v>
      </c>
    </row>
    <row r="2147" spans="1:12" x14ac:dyDescent="0.3">
      <c r="A2147" t="s">
        <v>10</v>
      </c>
      <c r="B2147" t="s">
        <v>1256</v>
      </c>
      <c r="C2147" t="s">
        <v>12</v>
      </c>
      <c r="D2147">
        <v>2018</v>
      </c>
      <c r="E2147" t="s">
        <v>138</v>
      </c>
      <c r="F2147" t="s">
        <v>14</v>
      </c>
      <c r="G2147" t="s">
        <v>26</v>
      </c>
      <c r="H2147" t="s">
        <v>40</v>
      </c>
      <c r="I2147">
        <v>0.18500898499999999</v>
      </c>
      <c r="K2147">
        <v>42.379600000000003</v>
      </c>
      <c r="L2147">
        <v>4.2</v>
      </c>
    </row>
    <row r="2148" spans="1:12" x14ac:dyDescent="0.3">
      <c r="A2148" t="s">
        <v>10</v>
      </c>
      <c r="B2148" t="s">
        <v>399</v>
      </c>
      <c r="C2148" t="s">
        <v>12</v>
      </c>
      <c r="D2148">
        <v>2018</v>
      </c>
      <c r="E2148" t="s">
        <v>138</v>
      </c>
      <c r="F2148" t="s">
        <v>14</v>
      </c>
      <c r="G2148" t="s">
        <v>26</v>
      </c>
      <c r="H2148" t="s">
        <v>40</v>
      </c>
      <c r="I2148">
        <v>0.11173569</v>
      </c>
      <c r="K2148">
        <v>115.9492</v>
      </c>
      <c r="L2148">
        <v>4.2</v>
      </c>
    </row>
    <row r="2149" spans="1:12" x14ac:dyDescent="0.3">
      <c r="A2149" t="s">
        <v>10</v>
      </c>
      <c r="B2149" t="s">
        <v>1257</v>
      </c>
      <c r="C2149" t="s">
        <v>12</v>
      </c>
      <c r="D2149">
        <v>2018</v>
      </c>
      <c r="E2149" t="s">
        <v>138</v>
      </c>
      <c r="F2149" t="s">
        <v>14</v>
      </c>
      <c r="G2149" t="s">
        <v>26</v>
      </c>
      <c r="H2149" t="s">
        <v>40</v>
      </c>
      <c r="I2149">
        <v>7.8758649E-2</v>
      </c>
      <c r="K2149">
        <v>116.38079999999999</v>
      </c>
      <c r="L2149">
        <v>4.2</v>
      </c>
    </row>
    <row r="2150" spans="1:12" x14ac:dyDescent="0.3">
      <c r="A2150" t="s">
        <v>10</v>
      </c>
      <c r="B2150" t="s">
        <v>864</v>
      </c>
      <c r="C2150" t="s">
        <v>12</v>
      </c>
      <c r="D2150">
        <v>2018</v>
      </c>
      <c r="E2150" t="s">
        <v>138</v>
      </c>
      <c r="F2150" t="s">
        <v>14</v>
      </c>
      <c r="G2150" t="s">
        <v>26</v>
      </c>
      <c r="H2150" t="s">
        <v>40</v>
      </c>
      <c r="I2150">
        <v>7.6434541999999994E-2</v>
      </c>
      <c r="K2150">
        <v>155.8946</v>
      </c>
      <c r="L2150">
        <v>4.2</v>
      </c>
    </row>
    <row r="2151" spans="1:12" x14ac:dyDescent="0.3">
      <c r="A2151" t="s">
        <v>10</v>
      </c>
      <c r="B2151" t="s">
        <v>1209</v>
      </c>
      <c r="C2151" t="s">
        <v>54</v>
      </c>
      <c r="D2151">
        <v>2018</v>
      </c>
      <c r="E2151" t="s">
        <v>138</v>
      </c>
      <c r="F2151" t="s">
        <v>14</v>
      </c>
      <c r="G2151" t="s">
        <v>26</v>
      </c>
      <c r="H2151" t="s">
        <v>40</v>
      </c>
      <c r="I2151">
        <v>0.133279499</v>
      </c>
      <c r="K2151">
        <v>112.6202</v>
      </c>
      <c r="L2151">
        <v>4.2</v>
      </c>
    </row>
    <row r="2152" spans="1:12"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
      <c r="A2197" t="s">
        <v>10</v>
      </c>
      <c r="B2197" t="s">
        <v>313</v>
      </c>
      <c r="C2197" t="s">
        <v>28</v>
      </c>
      <c r="D2197">
        <v>2016</v>
      </c>
      <c r="E2197" t="s">
        <v>25</v>
      </c>
      <c r="F2197" t="s">
        <v>14</v>
      </c>
      <c r="G2197" t="s">
        <v>26</v>
      </c>
      <c r="H2197" t="s">
        <v>16</v>
      </c>
      <c r="I2197">
        <v>0.11456509300000001</v>
      </c>
      <c r="J2197">
        <v>15.7</v>
      </c>
      <c r="K2197">
        <v>112.0202</v>
      </c>
      <c r="L2197">
        <v>4.2</v>
      </c>
    </row>
    <row r="2198" spans="1:12"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901</v>
      </c>
      <c r="C2202" t="s">
        <v>24</v>
      </c>
      <c r="D2202">
        <v>2016</v>
      </c>
      <c r="E2202" t="s">
        <v>25</v>
      </c>
      <c r="F2202" t="s">
        <v>14</v>
      </c>
      <c r="G2202" t="s">
        <v>26</v>
      </c>
      <c r="H2202" t="s">
        <v>16</v>
      </c>
      <c r="I2202">
        <v>0.135775701</v>
      </c>
      <c r="J2202">
        <v>14</v>
      </c>
      <c r="K2202">
        <v>54.564</v>
      </c>
      <c r="L2202">
        <v>4.2</v>
      </c>
    </row>
    <row r="2203" spans="1:12"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807</v>
      </c>
      <c r="C2207" t="s">
        <v>12</v>
      </c>
      <c r="D2207">
        <v>2016</v>
      </c>
      <c r="E2207" t="s">
        <v>25</v>
      </c>
      <c r="F2207" t="s">
        <v>14</v>
      </c>
      <c r="G2207" t="s">
        <v>26</v>
      </c>
      <c r="H2207" t="s">
        <v>16</v>
      </c>
      <c r="I2207">
        <v>2.9653914E-2</v>
      </c>
      <c r="J2207">
        <v>17.75</v>
      </c>
      <c r="K2207">
        <v>140.5838</v>
      </c>
      <c r="L2207">
        <v>4.2</v>
      </c>
    </row>
    <row r="2208" spans="1:12"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
      <c r="A2214" t="s">
        <v>10</v>
      </c>
      <c r="B2214" t="s">
        <v>260</v>
      </c>
      <c r="C2214" t="s">
        <v>48</v>
      </c>
      <c r="D2214">
        <v>2016</v>
      </c>
      <c r="E2214" t="s">
        <v>25</v>
      </c>
      <c r="F2214" t="s">
        <v>14</v>
      </c>
      <c r="G2214" t="s">
        <v>26</v>
      </c>
      <c r="H2214" t="s">
        <v>16</v>
      </c>
      <c r="I2214">
        <v>1.11263E-2</v>
      </c>
      <c r="J2214">
        <v>10.3</v>
      </c>
      <c r="K2214">
        <v>87.254000000000005</v>
      </c>
      <c r="L2214">
        <v>4.2</v>
      </c>
    </row>
    <row r="2215" spans="1:12"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x14ac:dyDescent="0.3">
      <c r="A2310" t="s">
        <v>10</v>
      </c>
      <c r="B2310" t="s">
        <v>279</v>
      </c>
      <c r="C2310" t="s">
        <v>12</v>
      </c>
      <c r="D2310">
        <v>2015</v>
      </c>
      <c r="E2310" t="s">
        <v>33</v>
      </c>
      <c r="F2310" t="s">
        <v>34</v>
      </c>
      <c r="G2310" t="s">
        <v>30</v>
      </c>
      <c r="H2310" t="s">
        <v>16</v>
      </c>
      <c r="I2310">
        <v>4.324563E-2</v>
      </c>
      <c r="J2310">
        <v>11.35</v>
      </c>
      <c r="K2310">
        <v>199.4742</v>
      </c>
      <c r="L2310">
        <v>4.2</v>
      </c>
    </row>
    <row r="2311" spans="1:12" x14ac:dyDescent="0.3">
      <c r="A2311" t="s">
        <v>10</v>
      </c>
      <c r="B2311" t="s">
        <v>734</v>
      </c>
      <c r="C2311" t="s">
        <v>12</v>
      </c>
      <c r="D2311">
        <v>2015</v>
      </c>
      <c r="E2311" t="s">
        <v>33</v>
      </c>
      <c r="F2311" t="s">
        <v>34</v>
      </c>
      <c r="G2311" t="s">
        <v>30</v>
      </c>
      <c r="H2311" t="s">
        <v>16</v>
      </c>
      <c r="I2311">
        <v>0.106542886</v>
      </c>
      <c r="J2311">
        <v>12.3</v>
      </c>
      <c r="K2311">
        <v>173.2396</v>
      </c>
      <c r="L2311">
        <v>4.2</v>
      </c>
    </row>
    <row r="2312" spans="1:12"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812</v>
      </c>
      <c r="C2319" t="s">
        <v>32</v>
      </c>
      <c r="D2319">
        <v>2015</v>
      </c>
      <c r="E2319" t="s">
        <v>33</v>
      </c>
      <c r="F2319" t="s">
        <v>34</v>
      </c>
      <c r="G2319" t="s">
        <v>30</v>
      </c>
      <c r="H2319" t="s">
        <v>16</v>
      </c>
      <c r="I2319">
        <v>0.152262171</v>
      </c>
      <c r="J2319">
        <v>6.11</v>
      </c>
      <c r="K2319">
        <v>44.4086</v>
      </c>
      <c r="L2319">
        <v>4.2</v>
      </c>
    </row>
    <row r="2320" spans="1:12"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
      <c r="A2322" t="s">
        <v>10</v>
      </c>
      <c r="B2322" t="s">
        <v>313</v>
      </c>
      <c r="C2322" t="s">
        <v>28</v>
      </c>
      <c r="D2322">
        <v>2020</v>
      </c>
      <c r="E2322" t="s">
        <v>37</v>
      </c>
      <c r="F2322" t="s">
        <v>34</v>
      </c>
      <c r="G2322" t="s">
        <v>30</v>
      </c>
      <c r="H2322" t="s">
        <v>16</v>
      </c>
      <c r="I2322">
        <v>0.11521312</v>
      </c>
      <c r="J2322">
        <v>15.7</v>
      </c>
      <c r="K2322">
        <v>112.0202</v>
      </c>
      <c r="L2322">
        <v>4.2</v>
      </c>
    </row>
    <row r="2323" spans="1:12" x14ac:dyDescent="0.3">
      <c r="A2323" t="s">
        <v>10</v>
      </c>
      <c r="B2323" t="s">
        <v>786</v>
      </c>
      <c r="C2323" t="s">
        <v>28</v>
      </c>
      <c r="D2323">
        <v>2020</v>
      </c>
      <c r="E2323" t="s">
        <v>37</v>
      </c>
      <c r="F2323" t="s">
        <v>34</v>
      </c>
      <c r="G2323" t="s">
        <v>30</v>
      </c>
      <c r="H2323" t="s">
        <v>16</v>
      </c>
      <c r="I2323">
        <v>0</v>
      </c>
      <c r="J2323">
        <v>19.2</v>
      </c>
      <c r="K2323">
        <v>153.3314</v>
      </c>
      <c r="L2323">
        <v>4.2</v>
      </c>
    </row>
    <row r="2324" spans="1:12"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
      <c r="A2326" t="s">
        <v>10</v>
      </c>
      <c r="B2326" t="s">
        <v>1122</v>
      </c>
      <c r="C2326" t="s">
        <v>24</v>
      </c>
      <c r="D2326">
        <v>2020</v>
      </c>
      <c r="E2326" t="s">
        <v>37</v>
      </c>
      <c r="F2326" t="s">
        <v>34</v>
      </c>
      <c r="G2326" t="s">
        <v>30</v>
      </c>
      <c r="H2326" t="s">
        <v>16</v>
      </c>
      <c r="I2326">
        <v>2.4342578E-2</v>
      </c>
      <c r="J2326">
        <v>8.39</v>
      </c>
      <c r="K2326">
        <v>113.6176</v>
      </c>
      <c r="L2326">
        <v>4.2</v>
      </c>
    </row>
    <row r="2327" spans="1:12"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360</v>
      </c>
      <c r="C2331" t="s">
        <v>12</v>
      </c>
      <c r="D2331">
        <v>2020</v>
      </c>
      <c r="E2331" t="s">
        <v>37</v>
      </c>
      <c r="F2331" t="s">
        <v>34</v>
      </c>
      <c r="G2331" t="s">
        <v>15</v>
      </c>
      <c r="H2331" t="s">
        <v>16</v>
      </c>
      <c r="I2331">
        <v>0</v>
      </c>
      <c r="J2331">
        <v>10.3</v>
      </c>
      <c r="K2331">
        <v>115.7176</v>
      </c>
      <c r="L2331">
        <v>4.2</v>
      </c>
    </row>
    <row r="2332" spans="1:12" x14ac:dyDescent="0.3">
      <c r="A2332" t="s">
        <v>10</v>
      </c>
      <c r="B2332" t="s">
        <v>678</v>
      </c>
      <c r="C2332" t="s">
        <v>12</v>
      </c>
      <c r="D2332">
        <v>2020</v>
      </c>
      <c r="E2332" t="s">
        <v>37</v>
      </c>
      <c r="F2332" t="s">
        <v>34</v>
      </c>
      <c r="G2332" t="s">
        <v>15</v>
      </c>
      <c r="H2332" t="s">
        <v>16</v>
      </c>
      <c r="I2332">
        <v>5.0368454E-2</v>
      </c>
      <c r="J2332">
        <v>11.85</v>
      </c>
      <c r="K2332">
        <v>163.8526</v>
      </c>
      <c r="L2332">
        <v>4.2</v>
      </c>
    </row>
    <row r="2333" spans="1:12"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1026</v>
      </c>
      <c r="C2334" t="s">
        <v>12</v>
      </c>
      <c r="D2334">
        <v>2020</v>
      </c>
      <c r="E2334" t="s">
        <v>37</v>
      </c>
      <c r="F2334" t="s">
        <v>34</v>
      </c>
      <c r="G2334" t="s">
        <v>15</v>
      </c>
      <c r="H2334" t="s">
        <v>16</v>
      </c>
      <c r="I2334">
        <v>0</v>
      </c>
      <c r="J2334">
        <v>13.15</v>
      </c>
      <c r="K2334">
        <v>171.97640000000001</v>
      </c>
      <c r="L2334">
        <v>4.2</v>
      </c>
    </row>
    <row r="2335" spans="1:12"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x14ac:dyDescent="0.3">
      <c r="A2337" t="s">
        <v>10</v>
      </c>
      <c r="B2337" t="s">
        <v>363</v>
      </c>
      <c r="C2337" t="s">
        <v>12</v>
      </c>
      <c r="D2337">
        <v>2020</v>
      </c>
      <c r="E2337" t="s">
        <v>37</v>
      </c>
      <c r="F2337" t="s">
        <v>34</v>
      </c>
      <c r="G2337" t="s">
        <v>15</v>
      </c>
      <c r="H2337" t="s">
        <v>16</v>
      </c>
      <c r="I2337">
        <v>3.5456465E-2</v>
      </c>
      <c r="J2337">
        <v>14.85</v>
      </c>
      <c r="K2337">
        <v>162.2578</v>
      </c>
      <c r="L2337">
        <v>4.2</v>
      </c>
    </row>
    <row r="2338" spans="1:12" x14ac:dyDescent="0.3">
      <c r="A2338" t="s">
        <v>10</v>
      </c>
      <c r="B2338" t="s">
        <v>71</v>
      </c>
      <c r="C2338" t="s">
        <v>12</v>
      </c>
      <c r="D2338">
        <v>2020</v>
      </c>
      <c r="E2338" t="s">
        <v>37</v>
      </c>
      <c r="F2338" t="s">
        <v>34</v>
      </c>
      <c r="G2338" t="s">
        <v>15</v>
      </c>
      <c r="H2338" t="s">
        <v>16</v>
      </c>
      <c r="I2338">
        <v>0</v>
      </c>
      <c r="J2338">
        <v>17.7</v>
      </c>
      <c r="K2338">
        <v>46.803400000000003</v>
      </c>
      <c r="L2338">
        <v>4.2</v>
      </c>
    </row>
    <row r="2339" spans="1:12"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x14ac:dyDescent="0.3">
      <c r="A2343" t="s">
        <v>10</v>
      </c>
      <c r="B2343" t="s">
        <v>811</v>
      </c>
      <c r="C2343" t="s">
        <v>48</v>
      </c>
      <c r="D2343">
        <v>2020</v>
      </c>
      <c r="E2343" t="s">
        <v>37</v>
      </c>
      <c r="F2343" t="s">
        <v>34</v>
      </c>
      <c r="G2343" t="s">
        <v>15</v>
      </c>
      <c r="H2343" t="s">
        <v>16</v>
      </c>
      <c r="I2343">
        <v>0.15021128</v>
      </c>
      <c r="J2343">
        <v>13.35</v>
      </c>
      <c r="K2343">
        <v>179.066</v>
      </c>
      <c r="L2343">
        <v>4.2</v>
      </c>
    </row>
    <row r="2344" spans="1:12"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
      <c r="A2350" t="s">
        <v>10</v>
      </c>
      <c r="B2350" t="s">
        <v>813</v>
      </c>
      <c r="C2350" t="s">
        <v>159</v>
      </c>
      <c r="D2350">
        <v>2015</v>
      </c>
      <c r="E2350" t="s">
        <v>33</v>
      </c>
      <c r="F2350" t="s">
        <v>34</v>
      </c>
      <c r="G2350" t="s">
        <v>15</v>
      </c>
      <c r="H2350" t="s">
        <v>16</v>
      </c>
      <c r="I2350">
        <v>0.14269958799999999</v>
      </c>
      <c r="J2350">
        <v>7.6</v>
      </c>
      <c r="K2350">
        <v>171.7448</v>
      </c>
      <c r="L2350">
        <v>4.2</v>
      </c>
    </row>
    <row r="2351" spans="1:12"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
      <c r="A2404" t="s">
        <v>10</v>
      </c>
      <c r="B2404" t="s">
        <v>85</v>
      </c>
      <c r="C2404" t="s">
        <v>67</v>
      </c>
      <c r="D2404">
        <v>2017</v>
      </c>
      <c r="E2404" t="s">
        <v>50</v>
      </c>
      <c r="F2404" t="s">
        <v>34</v>
      </c>
      <c r="G2404" t="s">
        <v>26</v>
      </c>
      <c r="H2404" t="s">
        <v>16</v>
      </c>
      <c r="I2404">
        <v>0.10821852</v>
      </c>
      <c r="J2404">
        <v>6.75</v>
      </c>
      <c r="K2404">
        <v>96.375200000000007</v>
      </c>
      <c r="L2404">
        <v>4.2</v>
      </c>
    </row>
    <row r="2405" spans="1:12"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
      <c r="A2412" t="s">
        <v>10</v>
      </c>
      <c r="B2412" t="s">
        <v>868</v>
      </c>
      <c r="C2412" t="s">
        <v>12</v>
      </c>
      <c r="D2412">
        <v>2017</v>
      </c>
      <c r="E2412" t="s">
        <v>50</v>
      </c>
      <c r="F2412" t="s">
        <v>34</v>
      </c>
      <c r="G2412" t="s">
        <v>26</v>
      </c>
      <c r="H2412" t="s">
        <v>16</v>
      </c>
      <c r="I2412">
        <v>0</v>
      </c>
      <c r="J2412">
        <v>10.3</v>
      </c>
      <c r="K2412">
        <v>191.15299999999999</v>
      </c>
      <c r="L2412">
        <v>4.2</v>
      </c>
    </row>
    <row r="2413" spans="1:12"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
      <c r="A2414" t="s">
        <v>10</v>
      </c>
      <c r="B2414" t="s">
        <v>1140</v>
      </c>
      <c r="C2414" t="s">
        <v>12</v>
      </c>
      <c r="D2414">
        <v>2017</v>
      </c>
      <c r="E2414" t="s">
        <v>50</v>
      </c>
      <c r="F2414" t="s">
        <v>34</v>
      </c>
      <c r="G2414" t="s">
        <v>26</v>
      </c>
      <c r="H2414" t="s">
        <v>16</v>
      </c>
      <c r="I2414">
        <v>0</v>
      </c>
      <c r="J2414">
        <v>12.6</v>
      </c>
      <c r="K2414">
        <v>248.8092</v>
      </c>
      <c r="L2414">
        <v>4.2</v>
      </c>
    </row>
    <row r="2415" spans="1:12"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
      <c r="A2421" t="s">
        <v>10</v>
      </c>
      <c r="B2421" t="s">
        <v>810</v>
      </c>
      <c r="C2421" t="s">
        <v>48</v>
      </c>
      <c r="D2421">
        <v>2017</v>
      </c>
      <c r="E2421" t="s">
        <v>50</v>
      </c>
      <c r="F2421" t="s">
        <v>34</v>
      </c>
      <c r="G2421" t="s">
        <v>26</v>
      </c>
      <c r="H2421" t="s">
        <v>16</v>
      </c>
      <c r="I2421">
        <v>0</v>
      </c>
      <c r="J2421">
        <v>11.35</v>
      </c>
      <c r="K2421">
        <v>103.0016</v>
      </c>
      <c r="L2421">
        <v>4.2</v>
      </c>
    </row>
    <row r="2422" spans="1:12" x14ac:dyDescent="0.3">
      <c r="A2422" t="s">
        <v>10</v>
      </c>
      <c r="B2422" t="s">
        <v>811</v>
      </c>
      <c r="C2422" t="s">
        <v>48</v>
      </c>
      <c r="D2422">
        <v>2017</v>
      </c>
      <c r="E2422" t="s">
        <v>50</v>
      </c>
      <c r="F2422" t="s">
        <v>34</v>
      </c>
      <c r="G2422" t="s">
        <v>26</v>
      </c>
      <c r="H2422" t="s">
        <v>16</v>
      </c>
      <c r="I2422">
        <v>0.149338159</v>
      </c>
      <c r="J2422">
        <v>13.35</v>
      </c>
      <c r="K2422">
        <v>178.666</v>
      </c>
      <c r="L2422">
        <v>4.2</v>
      </c>
    </row>
    <row r="2423" spans="1:12"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254</v>
      </c>
      <c r="C2463" t="s">
        <v>24</v>
      </c>
      <c r="D2463">
        <v>2011</v>
      </c>
      <c r="E2463" t="s">
        <v>39</v>
      </c>
      <c r="F2463" t="s">
        <v>21</v>
      </c>
      <c r="G2463" t="s">
        <v>30</v>
      </c>
      <c r="H2463" t="s">
        <v>40</v>
      </c>
      <c r="I2463">
        <v>8.6187886000000005E-2</v>
      </c>
      <c r="J2463">
        <v>20</v>
      </c>
      <c r="K2463">
        <v>125.4678</v>
      </c>
      <c r="L2463">
        <v>4.2</v>
      </c>
    </row>
    <row r="2464" spans="1:12"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154</v>
      </c>
      <c r="C2506" t="s">
        <v>74</v>
      </c>
      <c r="D2506">
        <v>2014</v>
      </c>
      <c r="E2506" t="s">
        <v>29</v>
      </c>
      <c r="F2506" t="s">
        <v>21</v>
      </c>
      <c r="G2506" t="s">
        <v>30</v>
      </c>
      <c r="H2506" t="s">
        <v>16</v>
      </c>
      <c r="I2506">
        <v>5.6271701E-2</v>
      </c>
      <c r="J2506">
        <v>13.85</v>
      </c>
      <c r="K2506">
        <v>232.23</v>
      </c>
      <c r="L2506">
        <v>4.2</v>
      </c>
    </row>
    <row r="2507" spans="1:12"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396</v>
      </c>
      <c r="C2509" t="s">
        <v>28</v>
      </c>
      <c r="D2509">
        <v>2014</v>
      </c>
      <c r="E2509" t="s">
        <v>29</v>
      </c>
      <c r="F2509" t="s">
        <v>21</v>
      </c>
      <c r="G2509" t="s">
        <v>30</v>
      </c>
      <c r="H2509" t="s">
        <v>16</v>
      </c>
      <c r="I2509">
        <v>0.161301097</v>
      </c>
      <c r="J2509">
        <v>15</v>
      </c>
      <c r="K2509">
        <v>185.1266</v>
      </c>
      <c r="L2509">
        <v>4.2</v>
      </c>
    </row>
    <row r="2510" spans="1:12" x14ac:dyDescent="0.3">
      <c r="A2510" t="s">
        <v>10</v>
      </c>
      <c r="B2510" t="s">
        <v>1333</v>
      </c>
      <c r="C2510" t="s">
        <v>24</v>
      </c>
      <c r="D2510">
        <v>2014</v>
      </c>
      <c r="E2510" t="s">
        <v>29</v>
      </c>
      <c r="F2510" t="s">
        <v>21</v>
      </c>
      <c r="G2510" t="s">
        <v>30</v>
      </c>
      <c r="H2510" t="s">
        <v>16</v>
      </c>
      <c r="I2510">
        <v>0.12831540899999999</v>
      </c>
      <c r="J2510">
        <v>16.2</v>
      </c>
      <c r="K2510">
        <v>178.137</v>
      </c>
      <c r="L2510">
        <v>4.2</v>
      </c>
    </row>
    <row r="2511" spans="1:12"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
      <c r="A2528" t="s">
        <v>10</v>
      </c>
      <c r="B2528" t="s">
        <v>1122</v>
      </c>
      <c r="C2528" t="s">
        <v>24</v>
      </c>
      <c r="D2528">
        <v>2014</v>
      </c>
      <c r="E2528" t="s">
        <v>29</v>
      </c>
      <c r="F2528" t="s">
        <v>21</v>
      </c>
      <c r="G2528" t="s">
        <v>30</v>
      </c>
      <c r="H2528" t="s">
        <v>16</v>
      </c>
      <c r="I2528">
        <v>2.4185517E-2</v>
      </c>
      <c r="J2528">
        <v>8.39</v>
      </c>
      <c r="K2528">
        <v>115.7176</v>
      </c>
      <c r="L2528">
        <v>4.2</v>
      </c>
    </row>
    <row r="2529" spans="1:12" x14ac:dyDescent="0.3">
      <c r="A2529" t="s">
        <v>10</v>
      </c>
      <c r="B2529" t="s">
        <v>903</v>
      </c>
      <c r="C2529" t="s">
        <v>48</v>
      </c>
      <c r="D2529">
        <v>2014</v>
      </c>
      <c r="E2529" t="s">
        <v>29</v>
      </c>
      <c r="F2529" t="s">
        <v>21</v>
      </c>
      <c r="G2529" t="s">
        <v>30</v>
      </c>
      <c r="H2529" t="s">
        <v>16</v>
      </c>
      <c r="I2529">
        <v>1.3485235E-2</v>
      </c>
      <c r="J2529">
        <v>10.5</v>
      </c>
      <c r="K2529">
        <v>140.0154</v>
      </c>
      <c r="L2529">
        <v>4.2</v>
      </c>
    </row>
    <row r="2530" spans="1:12"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
      <c r="A2571" t="s">
        <v>10</v>
      </c>
      <c r="B2571" t="s">
        <v>313</v>
      </c>
      <c r="C2571" t="s">
        <v>28</v>
      </c>
      <c r="D2571">
        <v>2022</v>
      </c>
      <c r="E2571" t="s">
        <v>20</v>
      </c>
      <c r="F2571" t="s">
        <v>21</v>
      </c>
      <c r="G2571" t="s">
        <v>15</v>
      </c>
      <c r="H2571" t="s">
        <v>22</v>
      </c>
      <c r="I2571">
        <v>0.115031783</v>
      </c>
      <c r="J2571">
        <v>15.7</v>
      </c>
      <c r="K2571">
        <v>114.1202</v>
      </c>
      <c r="L2571">
        <v>4.2</v>
      </c>
    </row>
    <row r="2572" spans="1:12"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
      <c r="A2578" t="s">
        <v>10</v>
      </c>
      <c r="B2578" t="s">
        <v>62</v>
      </c>
      <c r="C2578" t="s">
        <v>12</v>
      </c>
      <c r="D2578">
        <v>2022</v>
      </c>
      <c r="E2578" t="s">
        <v>20</v>
      </c>
      <c r="F2578" t="s">
        <v>21</v>
      </c>
      <c r="G2578" t="s">
        <v>15</v>
      </c>
      <c r="H2578" t="s">
        <v>22</v>
      </c>
      <c r="I2578">
        <v>0</v>
      </c>
      <c r="J2578">
        <v>15.1</v>
      </c>
      <c r="K2578">
        <v>63.7194</v>
      </c>
      <c r="L2578">
        <v>4.2</v>
      </c>
    </row>
    <row r="2579" spans="1:12"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x14ac:dyDescent="0.3">
      <c r="A2633" t="s">
        <v>10</v>
      </c>
      <c r="B2633" t="s">
        <v>551</v>
      </c>
      <c r="C2633" t="s">
        <v>95</v>
      </c>
      <c r="D2633">
        <v>2018</v>
      </c>
      <c r="E2633" t="s">
        <v>45</v>
      </c>
      <c r="F2633" t="s">
        <v>21</v>
      </c>
      <c r="G2633" t="s">
        <v>15</v>
      </c>
      <c r="H2633" t="s">
        <v>46</v>
      </c>
      <c r="I2633">
        <v>5.3576850000000002E-2</v>
      </c>
      <c r="K2633">
        <v>122.2072</v>
      </c>
      <c r="L2633">
        <v>4.2</v>
      </c>
    </row>
    <row r="2634" spans="1:12" x14ac:dyDescent="0.3">
      <c r="A2634" t="s">
        <v>10</v>
      </c>
      <c r="B2634" t="s">
        <v>1095</v>
      </c>
      <c r="C2634" t="s">
        <v>95</v>
      </c>
      <c r="D2634">
        <v>2018</v>
      </c>
      <c r="E2634" t="s">
        <v>45</v>
      </c>
      <c r="F2634" t="s">
        <v>21</v>
      </c>
      <c r="G2634" t="s">
        <v>15</v>
      </c>
      <c r="H2634" t="s">
        <v>46</v>
      </c>
      <c r="I2634">
        <v>7.8943220999999994E-2</v>
      </c>
      <c r="K2634">
        <v>152.73660000000001</v>
      </c>
      <c r="L2634">
        <v>4.2</v>
      </c>
    </row>
    <row r="2635" spans="1:12" x14ac:dyDescent="0.3">
      <c r="A2635" t="s">
        <v>10</v>
      </c>
      <c r="B2635" t="s">
        <v>120</v>
      </c>
      <c r="C2635" t="s">
        <v>95</v>
      </c>
      <c r="D2635">
        <v>2018</v>
      </c>
      <c r="E2635" t="s">
        <v>45</v>
      </c>
      <c r="F2635" t="s">
        <v>21</v>
      </c>
      <c r="G2635" t="s">
        <v>15</v>
      </c>
      <c r="H2635" t="s">
        <v>46</v>
      </c>
      <c r="I2635">
        <v>7.5384242000000004E-2</v>
      </c>
      <c r="K2635">
        <v>262.7568</v>
      </c>
      <c r="L2635">
        <v>4.2</v>
      </c>
    </row>
    <row r="2636" spans="1:12" x14ac:dyDescent="0.3">
      <c r="A2636" t="s">
        <v>10</v>
      </c>
      <c r="B2636" t="s">
        <v>1138</v>
      </c>
      <c r="C2636" t="s">
        <v>57</v>
      </c>
      <c r="D2636">
        <v>2018</v>
      </c>
      <c r="E2636" t="s">
        <v>45</v>
      </c>
      <c r="F2636" t="s">
        <v>21</v>
      </c>
      <c r="G2636" t="s">
        <v>15</v>
      </c>
      <c r="H2636" t="s">
        <v>46</v>
      </c>
      <c r="I2636">
        <v>2.923013E-2</v>
      </c>
      <c r="K2636">
        <v>189.4556</v>
      </c>
      <c r="L2636">
        <v>4.2</v>
      </c>
    </row>
    <row r="2637" spans="1:12" x14ac:dyDescent="0.3">
      <c r="A2637" t="s">
        <v>10</v>
      </c>
      <c r="B2637" t="s">
        <v>1358</v>
      </c>
      <c r="C2637" t="s">
        <v>28</v>
      </c>
      <c r="D2637">
        <v>2018</v>
      </c>
      <c r="E2637" t="s">
        <v>45</v>
      </c>
      <c r="F2637" t="s">
        <v>21</v>
      </c>
      <c r="G2637" t="s">
        <v>15</v>
      </c>
      <c r="H2637" t="s">
        <v>46</v>
      </c>
      <c r="I2637">
        <v>1.612717E-2</v>
      </c>
      <c r="K2637">
        <v>189.35560000000001</v>
      </c>
      <c r="L2637">
        <v>4.2</v>
      </c>
    </row>
    <row r="2638" spans="1:12" x14ac:dyDescent="0.3">
      <c r="A2638" t="s">
        <v>10</v>
      </c>
      <c r="B2638" t="s">
        <v>1050</v>
      </c>
      <c r="C2638" t="s">
        <v>28</v>
      </c>
      <c r="D2638">
        <v>2018</v>
      </c>
      <c r="E2638" t="s">
        <v>45</v>
      </c>
      <c r="F2638" t="s">
        <v>21</v>
      </c>
      <c r="G2638" t="s">
        <v>15</v>
      </c>
      <c r="H2638" t="s">
        <v>46</v>
      </c>
      <c r="I2638">
        <v>2.6440214E-2</v>
      </c>
      <c r="K2638">
        <v>143.64699999999999</v>
      </c>
      <c r="L2638">
        <v>4.2</v>
      </c>
    </row>
    <row r="2639" spans="1:12" x14ac:dyDescent="0.3">
      <c r="A2639" t="s">
        <v>10</v>
      </c>
      <c r="B2639" t="s">
        <v>1359</v>
      </c>
      <c r="C2639" t="s">
        <v>67</v>
      </c>
      <c r="D2639">
        <v>2018</v>
      </c>
      <c r="E2639" t="s">
        <v>45</v>
      </c>
      <c r="F2639" t="s">
        <v>21</v>
      </c>
      <c r="G2639" t="s">
        <v>15</v>
      </c>
      <c r="H2639" t="s">
        <v>46</v>
      </c>
      <c r="I2639">
        <v>4.5763623000000003E-2</v>
      </c>
      <c r="K2639">
        <v>43.874400000000001</v>
      </c>
      <c r="L2639">
        <v>4.2</v>
      </c>
    </row>
    <row r="2640" spans="1:12" x14ac:dyDescent="0.3">
      <c r="A2640" t="s">
        <v>10</v>
      </c>
      <c r="B2640" t="s">
        <v>1360</v>
      </c>
      <c r="C2640" t="s">
        <v>67</v>
      </c>
      <c r="D2640">
        <v>2018</v>
      </c>
      <c r="E2640" t="s">
        <v>45</v>
      </c>
      <c r="F2640" t="s">
        <v>21</v>
      </c>
      <c r="G2640" t="s">
        <v>15</v>
      </c>
      <c r="H2640" t="s">
        <v>46</v>
      </c>
      <c r="I2640">
        <v>6.3024670000000005E-2</v>
      </c>
      <c r="K2640">
        <v>181.6318</v>
      </c>
      <c r="L2640">
        <v>4.2</v>
      </c>
    </row>
    <row r="2641" spans="1:12" x14ac:dyDescent="0.3">
      <c r="A2641" t="s">
        <v>10</v>
      </c>
      <c r="B2641" t="s">
        <v>554</v>
      </c>
      <c r="C2641" t="s">
        <v>67</v>
      </c>
      <c r="D2641">
        <v>2018</v>
      </c>
      <c r="E2641" t="s">
        <v>45</v>
      </c>
      <c r="F2641" t="s">
        <v>21</v>
      </c>
      <c r="G2641" t="s">
        <v>15</v>
      </c>
      <c r="H2641" t="s">
        <v>46</v>
      </c>
      <c r="I2641">
        <v>0.106538757</v>
      </c>
      <c r="K2641">
        <v>222.37719999999999</v>
      </c>
      <c r="L2641">
        <v>4.2</v>
      </c>
    </row>
    <row r="2642" spans="1:12" x14ac:dyDescent="0.3">
      <c r="A2642" t="s">
        <v>10</v>
      </c>
      <c r="B2642" t="s">
        <v>1270</v>
      </c>
      <c r="C2642" t="s">
        <v>24</v>
      </c>
      <c r="D2642">
        <v>2018</v>
      </c>
      <c r="E2642" t="s">
        <v>45</v>
      </c>
      <c r="F2642" t="s">
        <v>21</v>
      </c>
      <c r="G2642" t="s">
        <v>15</v>
      </c>
      <c r="H2642" t="s">
        <v>46</v>
      </c>
      <c r="I2642">
        <v>3.2296885999999997E-2</v>
      </c>
      <c r="K2642">
        <v>144.0102</v>
      </c>
      <c r="L2642">
        <v>4.2</v>
      </c>
    </row>
    <row r="2643" spans="1:12" x14ac:dyDescent="0.3">
      <c r="A2643" t="s">
        <v>10</v>
      </c>
      <c r="B2643" t="s">
        <v>1361</v>
      </c>
      <c r="C2643" t="s">
        <v>24</v>
      </c>
      <c r="D2643">
        <v>2018</v>
      </c>
      <c r="E2643" t="s">
        <v>45</v>
      </c>
      <c r="F2643" t="s">
        <v>21</v>
      </c>
      <c r="G2643" t="s">
        <v>15</v>
      </c>
      <c r="H2643" t="s">
        <v>46</v>
      </c>
      <c r="I2643">
        <v>0</v>
      </c>
      <c r="K2643">
        <v>130.53100000000001</v>
      </c>
      <c r="L2643">
        <v>4.2</v>
      </c>
    </row>
    <row r="2644" spans="1:12" x14ac:dyDescent="0.3">
      <c r="A2644" t="s">
        <v>10</v>
      </c>
      <c r="B2644" t="s">
        <v>280</v>
      </c>
      <c r="C2644" t="s">
        <v>12</v>
      </c>
      <c r="D2644">
        <v>2018</v>
      </c>
      <c r="E2644" t="s">
        <v>45</v>
      </c>
      <c r="F2644" t="s">
        <v>21</v>
      </c>
      <c r="G2644" t="s">
        <v>15</v>
      </c>
      <c r="H2644" t="s">
        <v>46</v>
      </c>
      <c r="I2644">
        <v>0.13144392099999999</v>
      </c>
      <c r="K2644">
        <v>189.18719999999999</v>
      </c>
      <c r="L2644">
        <v>4.2</v>
      </c>
    </row>
    <row r="2645" spans="1:12" x14ac:dyDescent="0.3">
      <c r="A2645" t="s">
        <v>10</v>
      </c>
      <c r="B2645" t="s">
        <v>923</v>
      </c>
      <c r="C2645" t="s">
        <v>12</v>
      </c>
      <c r="D2645">
        <v>2018</v>
      </c>
      <c r="E2645" t="s">
        <v>45</v>
      </c>
      <c r="F2645" t="s">
        <v>21</v>
      </c>
      <c r="G2645" t="s">
        <v>15</v>
      </c>
      <c r="H2645" t="s">
        <v>46</v>
      </c>
      <c r="I2645">
        <v>5.6782236999999999E-2</v>
      </c>
      <c r="K2645">
        <v>241.25120000000001</v>
      </c>
      <c r="L2645">
        <v>4.2</v>
      </c>
    </row>
    <row r="2646" spans="1:12" x14ac:dyDescent="0.3">
      <c r="A2646" t="s">
        <v>10</v>
      </c>
      <c r="B2646" t="s">
        <v>614</v>
      </c>
      <c r="C2646" t="s">
        <v>48</v>
      </c>
      <c r="D2646">
        <v>2018</v>
      </c>
      <c r="E2646" t="s">
        <v>45</v>
      </c>
      <c r="F2646" t="s">
        <v>21</v>
      </c>
      <c r="G2646" t="s">
        <v>15</v>
      </c>
      <c r="H2646" t="s">
        <v>46</v>
      </c>
      <c r="I2646">
        <v>8.9512542E-2</v>
      </c>
      <c r="K2646">
        <v>133.1626</v>
      </c>
      <c r="L2646">
        <v>4.2</v>
      </c>
    </row>
    <row r="2647" spans="1:12" x14ac:dyDescent="0.3">
      <c r="A2647" t="s">
        <v>10</v>
      </c>
      <c r="B2647" t="s">
        <v>319</v>
      </c>
      <c r="C2647" t="s">
        <v>48</v>
      </c>
      <c r="D2647">
        <v>2018</v>
      </c>
      <c r="E2647" t="s">
        <v>45</v>
      </c>
      <c r="F2647" t="s">
        <v>21</v>
      </c>
      <c r="G2647" t="s">
        <v>15</v>
      </c>
      <c r="H2647" t="s">
        <v>46</v>
      </c>
      <c r="I2647">
        <v>0.104786172</v>
      </c>
      <c r="K2647">
        <v>172.2764</v>
      </c>
      <c r="L2647">
        <v>4.2</v>
      </c>
    </row>
    <row r="2648" spans="1:12" x14ac:dyDescent="0.3">
      <c r="A2648" t="s">
        <v>10</v>
      </c>
      <c r="B2648" t="s">
        <v>1031</v>
      </c>
      <c r="C2648" t="s">
        <v>48</v>
      </c>
      <c r="D2648">
        <v>2018</v>
      </c>
      <c r="E2648" t="s">
        <v>45</v>
      </c>
      <c r="F2648" t="s">
        <v>21</v>
      </c>
      <c r="G2648" t="s">
        <v>15</v>
      </c>
      <c r="H2648" t="s">
        <v>46</v>
      </c>
      <c r="I2648">
        <v>4.1754583999999997E-2</v>
      </c>
      <c r="K2648">
        <v>53.463999999999999</v>
      </c>
      <c r="L2648">
        <v>4.2</v>
      </c>
    </row>
    <row r="2649" spans="1:12"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185</v>
      </c>
      <c r="C2669" t="s">
        <v>74</v>
      </c>
      <c r="D2669">
        <v>2018</v>
      </c>
      <c r="E2669" t="s">
        <v>45</v>
      </c>
      <c r="F2669" t="s">
        <v>21</v>
      </c>
      <c r="G2669" t="s">
        <v>15</v>
      </c>
      <c r="H2669" t="s">
        <v>46</v>
      </c>
      <c r="I2669">
        <v>2.0618324E-2</v>
      </c>
      <c r="K2669">
        <v>129.39940000000001</v>
      </c>
      <c r="L2669">
        <v>4.0999999999999996</v>
      </c>
    </row>
    <row r="2670" spans="1:12"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
      <c r="A2736" t="s">
        <v>10</v>
      </c>
      <c r="B2736" t="s">
        <v>983</v>
      </c>
      <c r="C2736" t="s">
        <v>57</v>
      </c>
      <c r="D2736">
        <v>2012</v>
      </c>
      <c r="E2736" t="s">
        <v>13</v>
      </c>
      <c r="F2736" t="s">
        <v>14</v>
      </c>
      <c r="G2736" t="s">
        <v>15</v>
      </c>
      <c r="H2736" t="s">
        <v>16</v>
      </c>
      <c r="I2736">
        <v>0</v>
      </c>
      <c r="J2736">
        <v>9.6</v>
      </c>
      <c r="K2736">
        <v>101.699</v>
      </c>
      <c r="L2736">
        <v>4.0999999999999996</v>
      </c>
    </row>
    <row r="2737" spans="1:12"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1337</v>
      </c>
      <c r="C2748" t="s">
        <v>48</v>
      </c>
      <c r="D2748">
        <v>2012</v>
      </c>
      <c r="E2748" t="s">
        <v>13</v>
      </c>
      <c r="F2748" t="s">
        <v>14</v>
      </c>
      <c r="G2748" t="s">
        <v>15</v>
      </c>
      <c r="H2748" t="s">
        <v>16</v>
      </c>
      <c r="I2748">
        <v>0</v>
      </c>
      <c r="J2748">
        <v>6.89</v>
      </c>
      <c r="K2748">
        <v>193.482</v>
      </c>
      <c r="L2748">
        <v>4.0999999999999996</v>
      </c>
    </row>
    <row r="2749" spans="1:12"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x14ac:dyDescent="0.3">
      <c r="A2776" t="s">
        <v>10</v>
      </c>
      <c r="B2776" t="s">
        <v>249</v>
      </c>
      <c r="C2776" t="s">
        <v>28</v>
      </c>
      <c r="D2776">
        <v>2018</v>
      </c>
      <c r="E2776" t="s">
        <v>138</v>
      </c>
      <c r="F2776" t="s">
        <v>14</v>
      </c>
      <c r="G2776" t="s">
        <v>26</v>
      </c>
      <c r="H2776" t="s">
        <v>40</v>
      </c>
      <c r="I2776">
        <v>5.6338482000000002E-2</v>
      </c>
      <c r="K2776">
        <v>184.624</v>
      </c>
      <c r="L2776">
        <v>4.0999999999999996</v>
      </c>
    </row>
    <row r="2777" spans="1:12"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x14ac:dyDescent="0.3">
      <c r="A2778" t="s">
        <v>10</v>
      </c>
      <c r="B2778" t="s">
        <v>253</v>
      </c>
      <c r="C2778" t="s">
        <v>67</v>
      </c>
      <c r="D2778">
        <v>2018</v>
      </c>
      <c r="E2778" t="s">
        <v>138</v>
      </c>
      <c r="F2778" t="s">
        <v>14</v>
      </c>
      <c r="G2778" t="s">
        <v>26</v>
      </c>
      <c r="H2778" t="s">
        <v>40</v>
      </c>
      <c r="I2778">
        <v>0.1107011</v>
      </c>
      <c r="K2778">
        <v>88.685599999999994</v>
      </c>
      <c r="L2778">
        <v>4.0999999999999996</v>
      </c>
    </row>
    <row r="2779" spans="1:12"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
      <c r="A2781" t="s">
        <v>10</v>
      </c>
      <c r="B2781" t="s">
        <v>962</v>
      </c>
      <c r="C2781" t="s">
        <v>12</v>
      </c>
      <c r="D2781">
        <v>2018</v>
      </c>
      <c r="E2781" t="s">
        <v>138</v>
      </c>
      <c r="F2781" t="s">
        <v>14</v>
      </c>
      <c r="G2781" t="s">
        <v>26</v>
      </c>
      <c r="H2781" t="s">
        <v>40</v>
      </c>
      <c r="I2781">
        <v>0.10229590399999999</v>
      </c>
      <c r="K2781">
        <v>162.3552</v>
      </c>
      <c r="L2781">
        <v>4.0999999999999996</v>
      </c>
    </row>
    <row r="2782" spans="1:12"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
      <c r="A2784" t="s">
        <v>10</v>
      </c>
      <c r="B2784" t="s">
        <v>1388</v>
      </c>
      <c r="C2784" t="s">
        <v>48</v>
      </c>
      <c r="D2784">
        <v>2018</v>
      </c>
      <c r="E2784" t="s">
        <v>138</v>
      </c>
      <c r="F2784" t="s">
        <v>14</v>
      </c>
      <c r="G2784" t="s">
        <v>26</v>
      </c>
      <c r="H2784" t="s">
        <v>40</v>
      </c>
      <c r="I2784">
        <v>0</v>
      </c>
      <c r="K2784">
        <v>58.758800000000001</v>
      </c>
      <c r="L2784">
        <v>4.0999999999999996</v>
      </c>
    </row>
    <row r="2785" spans="1:12"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271</v>
      </c>
      <c r="C3065" t="s">
        <v>12</v>
      </c>
      <c r="D3065">
        <v>2014</v>
      </c>
      <c r="E3065" t="s">
        <v>29</v>
      </c>
      <c r="F3065" t="s">
        <v>21</v>
      </c>
      <c r="G3065" t="s">
        <v>30</v>
      </c>
      <c r="H3065" t="s">
        <v>16</v>
      </c>
      <c r="I3065">
        <v>0</v>
      </c>
      <c r="J3065">
        <v>8.77</v>
      </c>
      <c r="K3065">
        <v>173.6422</v>
      </c>
      <c r="L3065">
        <v>4.0999999999999996</v>
      </c>
    </row>
    <row r="3066" spans="1:12"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x14ac:dyDescent="0.3">
      <c r="A3156" t="s">
        <v>10</v>
      </c>
      <c r="B3156" t="s">
        <v>882</v>
      </c>
      <c r="C3156" t="s">
        <v>95</v>
      </c>
      <c r="D3156">
        <v>2018</v>
      </c>
      <c r="E3156" t="s">
        <v>45</v>
      </c>
      <c r="F3156" t="s">
        <v>21</v>
      </c>
      <c r="G3156" t="s">
        <v>15</v>
      </c>
      <c r="H3156" t="s">
        <v>46</v>
      </c>
      <c r="I3156">
        <v>0.121043709</v>
      </c>
      <c r="K3156">
        <v>59.421999999999997</v>
      </c>
      <c r="L3156">
        <v>4.0999999999999996</v>
      </c>
    </row>
    <row r="3157" spans="1:12" x14ac:dyDescent="0.3">
      <c r="A3157" t="s">
        <v>10</v>
      </c>
      <c r="B3157" t="s">
        <v>731</v>
      </c>
      <c r="C3157" t="s">
        <v>28</v>
      </c>
      <c r="D3157">
        <v>2018</v>
      </c>
      <c r="E3157" t="s">
        <v>45</v>
      </c>
      <c r="F3157" t="s">
        <v>21</v>
      </c>
      <c r="G3157" t="s">
        <v>15</v>
      </c>
      <c r="H3157" t="s">
        <v>46</v>
      </c>
      <c r="I3157">
        <v>0</v>
      </c>
      <c r="K3157">
        <v>91.848799999999997</v>
      </c>
      <c r="L3157">
        <v>4.0999999999999996</v>
      </c>
    </row>
    <row r="3158" spans="1:12"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
      <c r="A3160" t="s">
        <v>10</v>
      </c>
      <c r="B3160" t="s">
        <v>456</v>
      </c>
      <c r="C3160" t="s">
        <v>67</v>
      </c>
      <c r="D3160">
        <v>2018</v>
      </c>
      <c r="E3160" t="s">
        <v>45</v>
      </c>
      <c r="F3160" t="s">
        <v>21</v>
      </c>
      <c r="G3160" t="s">
        <v>15</v>
      </c>
      <c r="H3160" t="s">
        <v>46</v>
      </c>
      <c r="I3160">
        <v>3.7516861999999998E-2</v>
      </c>
      <c r="K3160">
        <v>124.3704</v>
      </c>
      <c r="L3160">
        <v>4.0999999999999996</v>
      </c>
    </row>
    <row r="3161" spans="1:12" x14ac:dyDescent="0.3">
      <c r="A3161" t="s">
        <v>10</v>
      </c>
      <c r="B3161" t="s">
        <v>1436</v>
      </c>
      <c r="C3161" t="s">
        <v>24</v>
      </c>
      <c r="D3161">
        <v>2018</v>
      </c>
      <c r="E3161" t="s">
        <v>45</v>
      </c>
      <c r="F3161" t="s">
        <v>21</v>
      </c>
      <c r="G3161" t="s">
        <v>15</v>
      </c>
      <c r="H3161" t="s">
        <v>46</v>
      </c>
      <c r="I3161">
        <v>4.7570400999999998E-2</v>
      </c>
      <c r="K3161">
        <v>125.7362</v>
      </c>
      <c r="L3161">
        <v>4.0999999999999996</v>
      </c>
    </row>
    <row r="3162" spans="1:12" x14ac:dyDescent="0.3">
      <c r="A3162" t="s">
        <v>10</v>
      </c>
      <c r="B3162" t="s">
        <v>434</v>
      </c>
      <c r="C3162" t="s">
        <v>24</v>
      </c>
      <c r="D3162">
        <v>2018</v>
      </c>
      <c r="E3162" t="s">
        <v>45</v>
      </c>
      <c r="F3162" t="s">
        <v>21</v>
      </c>
      <c r="G3162" t="s">
        <v>15</v>
      </c>
      <c r="H3162" t="s">
        <v>46</v>
      </c>
      <c r="I3162">
        <v>1.4018839999999999E-2</v>
      </c>
      <c r="K3162">
        <v>178.1344</v>
      </c>
      <c r="L3162">
        <v>4.0999999999999996</v>
      </c>
    </row>
    <row r="3163" spans="1:12" x14ac:dyDescent="0.3">
      <c r="A3163" t="s">
        <v>10</v>
      </c>
      <c r="B3163" t="s">
        <v>552</v>
      </c>
      <c r="C3163" t="s">
        <v>24</v>
      </c>
      <c r="D3163">
        <v>2018</v>
      </c>
      <c r="E3163" t="s">
        <v>45</v>
      </c>
      <c r="F3163" t="s">
        <v>21</v>
      </c>
      <c r="G3163" t="s">
        <v>15</v>
      </c>
      <c r="H3163" t="s">
        <v>46</v>
      </c>
      <c r="I3163">
        <v>3.5853059E-2</v>
      </c>
      <c r="K3163">
        <v>176.87119999999999</v>
      </c>
      <c r="L3163">
        <v>4.0999999999999996</v>
      </c>
    </row>
    <row r="3164" spans="1:12"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765</v>
      </c>
      <c r="C3166" t="s">
        <v>12</v>
      </c>
      <c r="D3166">
        <v>2018</v>
      </c>
      <c r="E3166" t="s">
        <v>45</v>
      </c>
      <c r="F3166" t="s">
        <v>21</v>
      </c>
      <c r="G3166" t="s">
        <v>15</v>
      </c>
      <c r="H3166" t="s">
        <v>46</v>
      </c>
      <c r="I3166">
        <v>0</v>
      </c>
      <c r="K3166">
        <v>188.25559999999999</v>
      </c>
      <c r="L3166">
        <v>4.0999999999999996</v>
      </c>
    </row>
    <row r="3167" spans="1:12"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x14ac:dyDescent="0.3">
      <c r="A3168" t="s">
        <v>10</v>
      </c>
      <c r="B3168" t="s">
        <v>1010</v>
      </c>
      <c r="C3168" t="s">
        <v>12</v>
      </c>
      <c r="D3168">
        <v>2018</v>
      </c>
      <c r="E3168" t="s">
        <v>45</v>
      </c>
      <c r="F3168" t="s">
        <v>21</v>
      </c>
      <c r="G3168" t="s">
        <v>15</v>
      </c>
      <c r="H3168" t="s">
        <v>46</v>
      </c>
      <c r="I3168">
        <v>5.8542509E-2</v>
      </c>
      <c r="K3168">
        <v>168.6448</v>
      </c>
      <c r="L3168">
        <v>4.0999999999999996</v>
      </c>
    </row>
    <row r="3169" spans="1:12" x14ac:dyDescent="0.3">
      <c r="A3169" t="s">
        <v>10</v>
      </c>
      <c r="B3169" t="s">
        <v>887</v>
      </c>
      <c r="C3169" t="s">
        <v>48</v>
      </c>
      <c r="D3169">
        <v>2018</v>
      </c>
      <c r="E3169" t="s">
        <v>45</v>
      </c>
      <c r="F3169" t="s">
        <v>21</v>
      </c>
      <c r="G3169" t="s">
        <v>15</v>
      </c>
      <c r="H3169" t="s">
        <v>46</v>
      </c>
      <c r="I3169">
        <v>3.7388493000000002E-2</v>
      </c>
      <c r="K3169">
        <v>107.8254</v>
      </c>
      <c r="L3169">
        <v>4.0999999999999996</v>
      </c>
    </row>
    <row r="3170" spans="1:12"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
      <c r="A3182" t="s">
        <v>10</v>
      </c>
      <c r="B3182" t="s">
        <v>339</v>
      </c>
      <c r="C3182" t="s">
        <v>24</v>
      </c>
      <c r="D3182">
        <v>2018</v>
      </c>
      <c r="E3182" t="s">
        <v>138</v>
      </c>
      <c r="F3182" t="s">
        <v>14</v>
      </c>
      <c r="G3182" t="s">
        <v>26</v>
      </c>
      <c r="H3182" t="s">
        <v>40</v>
      </c>
      <c r="I3182">
        <v>0.15028599000000001</v>
      </c>
      <c r="K3182">
        <v>51.069200000000002</v>
      </c>
      <c r="L3182">
        <v>4</v>
      </c>
    </row>
    <row r="3183" spans="1:12"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275</v>
      </c>
      <c r="C3199" t="s">
        <v>54</v>
      </c>
      <c r="D3199">
        <v>2018</v>
      </c>
      <c r="E3199" t="s">
        <v>45</v>
      </c>
      <c r="F3199" t="s">
        <v>21</v>
      </c>
      <c r="G3199" t="s">
        <v>15</v>
      </c>
      <c r="H3199" t="s">
        <v>46</v>
      </c>
      <c r="I3199">
        <v>6.5203102999999998E-2</v>
      </c>
      <c r="K3199">
        <v>166.08160000000001</v>
      </c>
      <c r="L3199">
        <v>4</v>
      </c>
    </row>
    <row r="3200" spans="1:12"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254</v>
      </c>
      <c r="C3231" t="s">
        <v>24</v>
      </c>
      <c r="D3231">
        <v>2016</v>
      </c>
      <c r="E3231" t="s">
        <v>25</v>
      </c>
      <c r="F3231" t="s">
        <v>14</v>
      </c>
      <c r="G3231" t="s">
        <v>26</v>
      </c>
      <c r="H3231" t="s">
        <v>16</v>
      </c>
      <c r="I3231">
        <v>0</v>
      </c>
      <c r="J3231">
        <v>20</v>
      </c>
      <c r="K3231">
        <v>127.3678</v>
      </c>
      <c r="L3231">
        <v>4</v>
      </c>
    </row>
    <row r="3232" spans="1:12" x14ac:dyDescent="0.3">
      <c r="A3232" t="s">
        <v>10</v>
      </c>
      <c r="B3232" t="s">
        <v>127</v>
      </c>
      <c r="C3232" t="s">
        <v>24</v>
      </c>
      <c r="D3232">
        <v>2018</v>
      </c>
      <c r="E3232" t="s">
        <v>45</v>
      </c>
      <c r="F3232" t="s">
        <v>21</v>
      </c>
      <c r="G3232" t="s">
        <v>15</v>
      </c>
      <c r="H3232" t="s">
        <v>46</v>
      </c>
      <c r="I3232">
        <v>7.6790921999999998E-2</v>
      </c>
      <c r="K3232">
        <v>172.11060000000001</v>
      </c>
      <c r="L3232">
        <v>4</v>
      </c>
    </row>
    <row r="3233" spans="1:12"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504</v>
      </c>
      <c r="C3239" t="s">
        <v>48</v>
      </c>
      <c r="D3239">
        <v>2018</v>
      </c>
      <c r="E3239" t="s">
        <v>45</v>
      </c>
      <c r="F3239" t="s">
        <v>21</v>
      </c>
      <c r="G3239" t="s">
        <v>15</v>
      </c>
      <c r="H3239" t="s">
        <v>46</v>
      </c>
      <c r="I3239">
        <v>7.2524759999999994E-2</v>
      </c>
      <c r="K3239">
        <v>120.3098</v>
      </c>
      <c r="L3239">
        <v>4</v>
      </c>
    </row>
    <row r="3240" spans="1:12"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
      <c r="A3243" t="s">
        <v>10</v>
      </c>
      <c r="B3243" t="s">
        <v>258</v>
      </c>
      <c r="C3243" t="s">
        <v>54</v>
      </c>
      <c r="D3243">
        <v>2017</v>
      </c>
      <c r="E3243" t="s">
        <v>50</v>
      </c>
      <c r="F3243" t="s">
        <v>34</v>
      </c>
      <c r="G3243" t="s">
        <v>26</v>
      </c>
      <c r="H3243" t="s">
        <v>16</v>
      </c>
      <c r="I3243">
        <v>6.1165511999999998E-2</v>
      </c>
      <c r="J3243">
        <v>5.15</v>
      </c>
      <c r="K3243">
        <v>125.6388</v>
      </c>
      <c r="L3243">
        <v>4</v>
      </c>
    </row>
    <row r="3244" spans="1:12"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x14ac:dyDescent="0.3">
      <c r="A3305" t="s">
        <v>10</v>
      </c>
      <c r="B3305" t="s">
        <v>271</v>
      </c>
      <c r="C3305" t="s">
        <v>12</v>
      </c>
      <c r="D3305">
        <v>2012</v>
      </c>
      <c r="E3305" t="s">
        <v>13</v>
      </c>
      <c r="F3305" t="s">
        <v>14</v>
      </c>
      <c r="G3305" t="s">
        <v>15</v>
      </c>
      <c r="H3305" t="s">
        <v>16</v>
      </c>
      <c r="I3305">
        <v>4.6844193999999999E-2</v>
      </c>
      <c r="J3305">
        <v>8.77</v>
      </c>
      <c r="K3305">
        <v>174.2422</v>
      </c>
      <c r="L3305">
        <v>4</v>
      </c>
    </row>
    <row r="3306" spans="1:12"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258</v>
      </c>
      <c r="C3308" t="s">
        <v>54</v>
      </c>
      <c r="D3308">
        <v>2012</v>
      </c>
      <c r="E3308" t="s">
        <v>13</v>
      </c>
      <c r="F3308" t="s">
        <v>14</v>
      </c>
      <c r="G3308" t="s">
        <v>15</v>
      </c>
      <c r="H3308" t="s">
        <v>16</v>
      </c>
      <c r="I3308">
        <v>6.1272194000000002E-2</v>
      </c>
      <c r="J3308">
        <v>5.15</v>
      </c>
      <c r="K3308">
        <v>125.6388</v>
      </c>
      <c r="L3308">
        <v>4</v>
      </c>
    </row>
    <row r="3309" spans="1:12"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
      <c r="A3310" t="s">
        <v>10</v>
      </c>
      <c r="B3310" t="s">
        <v>614</v>
      </c>
      <c r="C3310" t="s">
        <v>48</v>
      </c>
      <c r="D3310">
        <v>2012</v>
      </c>
      <c r="E3310" t="s">
        <v>13</v>
      </c>
      <c r="F3310" t="s">
        <v>14</v>
      </c>
      <c r="G3310" t="s">
        <v>15</v>
      </c>
      <c r="H3310" t="s">
        <v>16</v>
      </c>
      <c r="I3310">
        <v>0</v>
      </c>
      <c r="J3310">
        <v>6.67</v>
      </c>
      <c r="K3310">
        <v>133.0626</v>
      </c>
      <c r="L3310">
        <v>4</v>
      </c>
    </row>
    <row r="3311" spans="1:12"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x14ac:dyDescent="0.3">
      <c r="A3337" t="s">
        <v>10</v>
      </c>
      <c r="B3337" t="s">
        <v>882</v>
      </c>
      <c r="C3337" t="s">
        <v>95</v>
      </c>
      <c r="D3337">
        <v>2018</v>
      </c>
      <c r="E3337" t="s">
        <v>138</v>
      </c>
      <c r="F3337" t="s">
        <v>14</v>
      </c>
      <c r="G3337" t="s">
        <v>26</v>
      </c>
      <c r="H3337" t="s">
        <v>40</v>
      </c>
      <c r="I3337">
        <v>0.212963193</v>
      </c>
      <c r="K3337">
        <v>59.521999999999998</v>
      </c>
      <c r="L3337">
        <v>4</v>
      </c>
    </row>
    <row r="3338" spans="1:12" x14ac:dyDescent="0.3">
      <c r="A3338" t="s">
        <v>10</v>
      </c>
      <c r="B3338" t="s">
        <v>311</v>
      </c>
      <c r="C3338" t="s">
        <v>95</v>
      </c>
      <c r="D3338">
        <v>2018</v>
      </c>
      <c r="E3338" t="s">
        <v>138</v>
      </c>
      <c r="F3338" t="s">
        <v>14</v>
      </c>
      <c r="G3338" t="s">
        <v>26</v>
      </c>
      <c r="H3338" t="s">
        <v>40</v>
      </c>
      <c r="I3338">
        <v>0.10283010400000001</v>
      </c>
      <c r="K3338">
        <v>172.6422</v>
      </c>
      <c r="L3338">
        <v>4</v>
      </c>
    </row>
    <row r="3339" spans="1:12" x14ac:dyDescent="0.3">
      <c r="A3339" t="s">
        <v>10</v>
      </c>
      <c r="B3339" t="s">
        <v>1457</v>
      </c>
      <c r="C3339" t="s">
        <v>57</v>
      </c>
      <c r="D3339">
        <v>2018</v>
      </c>
      <c r="E3339" t="s">
        <v>138</v>
      </c>
      <c r="F3339" t="s">
        <v>14</v>
      </c>
      <c r="G3339" t="s">
        <v>26</v>
      </c>
      <c r="H3339" t="s">
        <v>40</v>
      </c>
      <c r="I3339">
        <v>0.118535581</v>
      </c>
      <c r="K3339">
        <v>256.39879999999999</v>
      </c>
      <c r="L3339">
        <v>4</v>
      </c>
    </row>
    <row r="3340" spans="1:12" x14ac:dyDescent="0.3">
      <c r="A3340" t="s">
        <v>10</v>
      </c>
      <c r="B3340" t="s">
        <v>1458</v>
      </c>
      <c r="C3340" t="s">
        <v>28</v>
      </c>
      <c r="D3340">
        <v>2018</v>
      </c>
      <c r="E3340" t="s">
        <v>138</v>
      </c>
      <c r="F3340" t="s">
        <v>14</v>
      </c>
      <c r="G3340" t="s">
        <v>26</v>
      </c>
      <c r="H3340" t="s">
        <v>40</v>
      </c>
      <c r="I3340">
        <v>0</v>
      </c>
      <c r="K3340">
        <v>169.87899999999999</v>
      </c>
      <c r="L3340">
        <v>4</v>
      </c>
    </row>
    <row r="3341" spans="1:12" x14ac:dyDescent="0.3">
      <c r="A3341" t="s">
        <v>10</v>
      </c>
      <c r="B3341" t="s">
        <v>597</v>
      </c>
      <c r="C3341" t="s">
        <v>67</v>
      </c>
      <c r="D3341">
        <v>2018</v>
      </c>
      <c r="E3341" t="s">
        <v>138</v>
      </c>
      <c r="F3341" t="s">
        <v>14</v>
      </c>
      <c r="G3341" t="s">
        <v>26</v>
      </c>
      <c r="H3341" t="s">
        <v>40</v>
      </c>
      <c r="I3341">
        <v>8.4404264000000007E-2</v>
      </c>
      <c r="K3341">
        <v>49.537599999999998</v>
      </c>
      <c r="L3341">
        <v>4</v>
      </c>
    </row>
    <row r="3342" spans="1:12" x14ac:dyDescent="0.3">
      <c r="A3342" t="s">
        <v>10</v>
      </c>
      <c r="B3342" t="s">
        <v>1123</v>
      </c>
      <c r="C3342" t="s">
        <v>24</v>
      </c>
      <c r="D3342">
        <v>2018</v>
      </c>
      <c r="E3342" t="s">
        <v>138</v>
      </c>
      <c r="F3342" t="s">
        <v>14</v>
      </c>
      <c r="G3342" t="s">
        <v>26</v>
      </c>
      <c r="H3342" t="s">
        <v>40</v>
      </c>
      <c r="I3342">
        <v>2.9157849E-2</v>
      </c>
      <c r="K3342">
        <v>97.072599999999994</v>
      </c>
      <c r="L3342">
        <v>4</v>
      </c>
    </row>
    <row r="3343" spans="1:12" x14ac:dyDescent="0.3">
      <c r="A3343" t="s">
        <v>10</v>
      </c>
      <c r="B3343" t="s">
        <v>941</v>
      </c>
      <c r="C3343" t="s">
        <v>24</v>
      </c>
      <c r="D3343">
        <v>2018</v>
      </c>
      <c r="E3343" t="s">
        <v>138</v>
      </c>
      <c r="F3343" t="s">
        <v>14</v>
      </c>
      <c r="G3343" t="s">
        <v>26</v>
      </c>
      <c r="H3343" t="s">
        <v>40</v>
      </c>
      <c r="I3343">
        <v>0.164438907</v>
      </c>
      <c r="K3343">
        <v>188.42140000000001</v>
      </c>
      <c r="L3343">
        <v>4</v>
      </c>
    </row>
    <row r="3344" spans="1:12" x14ac:dyDescent="0.3">
      <c r="A3344" t="s">
        <v>10</v>
      </c>
      <c r="B3344" t="s">
        <v>525</v>
      </c>
      <c r="C3344" t="s">
        <v>12</v>
      </c>
      <c r="D3344">
        <v>2018</v>
      </c>
      <c r="E3344" t="s">
        <v>138</v>
      </c>
      <c r="F3344" t="s">
        <v>14</v>
      </c>
      <c r="G3344" t="s">
        <v>26</v>
      </c>
      <c r="H3344" t="s">
        <v>40</v>
      </c>
      <c r="I3344">
        <v>9.5587976000000005E-2</v>
      </c>
      <c r="K3344">
        <v>193.982</v>
      </c>
      <c r="L3344">
        <v>4</v>
      </c>
    </row>
    <row r="3345" spans="1:12" x14ac:dyDescent="0.3">
      <c r="A3345" t="s">
        <v>10</v>
      </c>
      <c r="B3345" t="s">
        <v>1426</v>
      </c>
      <c r="C3345" t="s">
        <v>12</v>
      </c>
      <c r="D3345">
        <v>2018</v>
      </c>
      <c r="E3345" t="s">
        <v>138</v>
      </c>
      <c r="F3345" t="s">
        <v>14</v>
      </c>
      <c r="G3345" t="s">
        <v>26</v>
      </c>
      <c r="H3345" t="s">
        <v>40</v>
      </c>
      <c r="I3345">
        <v>0.214139786</v>
      </c>
      <c r="K3345">
        <v>102.4016</v>
      </c>
      <c r="L3345">
        <v>4</v>
      </c>
    </row>
    <row r="3346" spans="1:12" x14ac:dyDescent="0.3">
      <c r="A3346" t="s">
        <v>10</v>
      </c>
      <c r="B3346" t="s">
        <v>606</v>
      </c>
      <c r="C3346" t="s">
        <v>12</v>
      </c>
      <c r="D3346">
        <v>2018</v>
      </c>
      <c r="E3346" t="s">
        <v>138</v>
      </c>
      <c r="F3346" t="s">
        <v>14</v>
      </c>
      <c r="G3346" t="s">
        <v>26</v>
      </c>
      <c r="H3346" t="s">
        <v>40</v>
      </c>
      <c r="I3346">
        <v>0</v>
      </c>
      <c r="K3346">
        <v>178.5318</v>
      </c>
      <c r="L3346">
        <v>4</v>
      </c>
    </row>
    <row r="3347" spans="1:12" x14ac:dyDescent="0.3">
      <c r="A3347" t="s">
        <v>10</v>
      </c>
      <c r="B3347" t="s">
        <v>1311</v>
      </c>
      <c r="C3347" t="s">
        <v>48</v>
      </c>
      <c r="D3347">
        <v>2018</v>
      </c>
      <c r="E3347" t="s">
        <v>138</v>
      </c>
      <c r="F3347" t="s">
        <v>14</v>
      </c>
      <c r="G3347" t="s">
        <v>26</v>
      </c>
      <c r="H3347" t="s">
        <v>40</v>
      </c>
      <c r="I3347">
        <v>1.251245E-2</v>
      </c>
      <c r="K3347">
        <v>38.747999999999998</v>
      </c>
      <c r="L3347">
        <v>4</v>
      </c>
    </row>
    <row r="3348" spans="1:12"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
      <c r="A3397" t="s">
        <v>10</v>
      </c>
      <c r="B3397" t="s">
        <v>1424</v>
      </c>
      <c r="C3397" t="s">
        <v>95</v>
      </c>
      <c r="D3397">
        <v>2016</v>
      </c>
      <c r="E3397" t="s">
        <v>25</v>
      </c>
      <c r="F3397" t="s">
        <v>14</v>
      </c>
      <c r="G3397" t="s">
        <v>26</v>
      </c>
      <c r="H3397" t="s">
        <v>16</v>
      </c>
      <c r="I3397">
        <v>0</v>
      </c>
      <c r="J3397">
        <v>10.5</v>
      </c>
      <c r="K3397">
        <v>143.31280000000001</v>
      </c>
      <c r="L3397">
        <v>4</v>
      </c>
    </row>
    <row r="3398" spans="1:12" x14ac:dyDescent="0.3">
      <c r="A3398" t="s">
        <v>10</v>
      </c>
      <c r="B3398" t="s">
        <v>935</v>
      </c>
      <c r="C3398" t="s">
        <v>95</v>
      </c>
      <c r="D3398">
        <v>2016</v>
      </c>
      <c r="E3398" t="s">
        <v>25</v>
      </c>
      <c r="F3398" t="s">
        <v>14</v>
      </c>
      <c r="G3398" t="s">
        <v>26</v>
      </c>
      <c r="H3398" t="s">
        <v>16</v>
      </c>
      <c r="I3398">
        <v>0</v>
      </c>
      <c r="J3398">
        <v>16.5</v>
      </c>
      <c r="K3398">
        <v>96.206800000000001</v>
      </c>
      <c r="L3398">
        <v>4</v>
      </c>
    </row>
    <row r="3399" spans="1:12"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554</v>
      </c>
      <c r="C3402" t="s">
        <v>67</v>
      </c>
      <c r="D3402">
        <v>2016</v>
      </c>
      <c r="E3402" t="s">
        <v>25</v>
      </c>
      <c r="F3402" t="s">
        <v>14</v>
      </c>
      <c r="G3402" t="s">
        <v>26</v>
      </c>
      <c r="H3402" t="s">
        <v>16</v>
      </c>
      <c r="I3402">
        <v>0.107057186</v>
      </c>
      <c r="J3402">
        <v>11.8</v>
      </c>
      <c r="K3402">
        <v>224.1772</v>
      </c>
      <c r="L3402">
        <v>4</v>
      </c>
    </row>
    <row r="3403" spans="1:12"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x14ac:dyDescent="0.3">
      <c r="A3407" t="s">
        <v>10</v>
      </c>
      <c r="B3407" t="s">
        <v>360</v>
      </c>
      <c r="C3407" t="s">
        <v>12</v>
      </c>
      <c r="D3407">
        <v>2016</v>
      </c>
      <c r="E3407" t="s">
        <v>25</v>
      </c>
      <c r="F3407" t="s">
        <v>14</v>
      </c>
      <c r="G3407" t="s">
        <v>26</v>
      </c>
      <c r="H3407" t="s">
        <v>16</v>
      </c>
      <c r="I3407">
        <v>3.0569229E-2</v>
      </c>
      <c r="J3407">
        <v>10.3</v>
      </c>
      <c r="K3407">
        <v>113.1176</v>
      </c>
      <c r="L3407">
        <v>4</v>
      </c>
    </row>
    <row r="3408" spans="1:12" x14ac:dyDescent="0.3">
      <c r="A3408" t="s">
        <v>10</v>
      </c>
      <c r="B3408" t="s">
        <v>805</v>
      </c>
      <c r="C3408" t="s">
        <v>12</v>
      </c>
      <c r="D3408">
        <v>2016</v>
      </c>
      <c r="E3408" t="s">
        <v>25</v>
      </c>
      <c r="F3408" t="s">
        <v>14</v>
      </c>
      <c r="G3408" t="s">
        <v>26</v>
      </c>
      <c r="H3408" t="s">
        <v>16</v>
      </c>
      <c r="I3408">
        <v>8.1752759999999994E-2</v>
      </c>
      <c r="J3408">
        <v>12.5</v>
      </c>
      <c r="K3408">
        <v>89.0488</v>
      </c>
      <c r="L3408">
        <v>4</v>
      </c>
    </row>
    <row r="3409" spans="1:12" x14ac:dyDescent="0.3">
      <c r="A3409" t="s">
        <v>10</v>
      </c>
      <c r="B3409" t="s">
        <v>864</v>
      </c>
      <c r="C3409" t="s">
        <v>12</v>
      </c>
      <c r="D3409">
        <v>2016</v>
      </c>
      <c r="E3409" t="s">
        <v>25</v>
      </c>
      <c r="F3409" t="s">
        <v>14</v>
      </c>
      <c r="G3409" t="s">
        <v>26</v>
      </c>
      <c r="H3409" t="s">
        <v>16</v>
      </c>
      <c r="I3409">
        <v>4.3655155000000001E-2</v>
      </c>
      <c r="J3409">
        <v>13.6</v>
      </c>
      <c r="K3409">
        <v>156.7946</v>
      </c>
      <c r="L3409">
        <v>4</v>
      </c>
    </row>
    <row r="3410" spans="1:12"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x14ac:dyDescent="0.3">
      <c r="A3412" t="s">
        <v>10</v>
      </c>
      <c r="B3412" t="s">
        <v>1470</v>
      </c>
      <c r="C3412" t="s">
        <v>54</v>
      </c>
      <c r="D3412">
        <v>2016</v>
      </c>
      <c r="E3412" t="s">
        <v>25</v>
      </c>
      <c r="F3412" t="s">
        <v>14</v>
      </c>
      <c r="G3412" t="s">
        <v>26</v>
      </c>
      <c r="H3412" t="s">
        <v>16</v>
      </c>
      <c r="I3412">
        <v>1.8024769E-2</v>
      </c>
      <c r="J3412">
        <v>19.7</v>
      </c>
      <c r="K3412">
        <v>104.499</v>
      </c>
      <c r="L3412">
        <v>4</v>
      </c>
    </row>
    <row r="3413" spans="1:12"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x14ac:dyDescent="0.3">
      <c r="A3490" t="s">
        <v>10</v>
      </c>
      <c r="B3490" t="s">
        <v>1479</v>
      </c>
      <c r="C3490" t="s">
        <v>95</v>
      </c>
      <c r="D3490">
        <v>2015</v>
      </c>
      <c r="E3490" t="s">
        <v>33</v>
      </c>
      <c r="F3490" t="s">
        <v>34</v>
      </c>
      <c r="G3490" t="s">
        <v>30</v>
      </c>
      <c r="H3490" t="s">
        <v>16</v>
      </c>
      <c r="I3490">
        <v>1.7096552000000001E-2</v>
      </c>
      <c r="J3490">
        <v>5.44</v>
      </c>
      <c r="K3490">
        <v>178.137</v>
      </c>
      <c r="L3490">
        <v>4</v>
      </c>
    </row>
    <row r="3491" spans="1:12"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
      <c r="A3508" t="s">
        <v>10</v>
      </c>
      <c r="B3508" t="s">
        <v>767</v>
      </c>
      <c r="C3508" t="s">
        <v>54</v>
      </c>
      <c r="D3508">
        <v>2015</v>
      </c>
      <c r="E3508" t="s">
        <v>33</v>
      </c>
      <c r="F3508" t="s">
        <v>34</v>
      </c>
      <c r="G3508" t="s">
        <v>30</v>
      </c>
      <c r="H3508" t="s">
        <v>16</v>
      </c>
      <c r="I3508">
        <v>5.7538034000000002E-2</v>
      </c>
      <c r="J3508">
        <v>11.8</v>
      </c>
      <c r="K3508">
        <v>149.8366</v>
      </c>
      <c r="L3508">
        <v>4</v>
      </c>
    </row>
    <row r="3509" spans="1:12" x14ac:dyDescent="0.3">
      <c r="A3509" t="s">
        <v>10</v>
      </c>
      <c r="B3509" t="s">
        <v>1454</v>
      </c>
      <c r="C3509" t="s">
        <v>153</v>
      </c>
      <c r="D3509">
        <v>2015</v>
      </c>
      <c r="E3509" t="s">
        <v>33</v>
      </c>
      <c r="F3509" t="s">
        <v>34</v>
      </c>
      <c r="G3509" t="s">
        <v>30</v>
      </c>
      <c r="H3509" t="s">
        <v>16</v>
      </c>
      <c r="I3509">
        <v>0</v>
      </c>
      <c r="J3509">
        <v>20.75</v>
      </c>
      <c r="K3509">
        <v>239.988</v>
      </c>
      <c r="L3509">
        <v>4</v>
      </c>
    </row>
    <row r="3510" spans="1:12"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1398</v>
      </c>
      <c r="C3516" t="s">
        <v>95</v>
      </c>
      <c r="D3516">
        <v>2020</v>
      </c>
      <c r="E3516" t="s">
        <v>37</v>
      </c>
      <c r="F3516" t="s">
        <v>34</v>
      </c>
      <c r="G3516" t="s">
        <v>30</v>
      </c>
      <c r="H3516" t="s">
        <v>16</v>
      </c>
      <c r="I3516">
        <v>3.4605881999999998E-2</v>
      </c>
      <c r="J3516">
        <v>14.3</v>
      </c>
      <c r="K3516">
        <v>95.9726</v>
      </c>
      <c r="L3516">
        <v>4</v>
      </c>
    </row>
    <row r="3517" spans="1:12"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758</v>
      </c>
      <c r="C3530" t="s">
        <v>24</v>
      </c>
      <c r="D3530">
        <v>2020</v>
      </c>
      <c r="E3530" t="s">
        <v>37</v>
      </c>
      <c r="F3530" t="s">
        <v>34</v>
      </c>
      <c r="G3530" t="s">
        <v>30</v>
      </c>
      <c r="H3530" t="s">
        <v>16</v>
      </c>
      <c r="I3530">
        <v>4.2716708999999999E-2</v>
      </c>
      <c r="J3530">
        <v>17.7</v>
      </c>
      <c r="K3530">
        <v>163.221</v>
      </c>
      <c r="L3530">
        <v>4</v>
      </c>
    </row>
    <row r="3531" spans="1:12"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1444</v>
      </c>
      <c r="C3533" t="s">
        <v>54</v>
      </c>
      <c r="D3533">
        <v>2020</v>
      </c>
      <c r="E3533" t="s">
        <v>37</v>
      </c>
      <c r="F3533" t="s">
        <v>34</v>
      </c>
      <c r="G3533" t="s">
        <v>15</v>
      </c>
      <c r="H3533" t="s">
        <v>16</v>
      </c>
      <c r="I3533">
        <v>0</v>
      </c>
      <c r="J3533">
        <v>16</v>
      </c>
      <c r="K3533">
        <v>48.171799999999998</v>
      </c>
      <c r="L3533">
        <v>4</v>
      </c>
    </row>
    <row r="3534" spans="1:12"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x14ac:dyDescent="0.3">
      <c r="A3538" t="s">
        <v>10</v>
      </c>
      <c r="B3538" t="s">
        <v>451</v>
      </c>
      <c r="C3538" t="s">
        <v>48</v>
      </c>
      <c r="D3538">
        <v>2020</v>
      </c>
      <c r="E3538" t="s">
        <v>37</v>
      </c>
      <c r="F3538" t="s">
        <v>34</v>
      </c>
      <c r="G3538" t="s">
        <v>15</v>
      </c>
      <c r="H3538" t="s">
        <v>16</v>
      </c>
      <c r="I3538">
        <v>9.4185483E-2</v>
      </c>
      <c r="J3538">
        <v>11.8</v>
      </c>
      <c r="K3538">
        <v>126.2704</v>
      </c>
      <c r="L3538">
        <v>4</v>
      </c>
    </row>
    <row r="3539" spans="1:12" x14ac:dyDescent="0.3">
      <c r="A3539" t="s">
        <v>10</v>
      </c>
      <c r="B3539" t="s">
        <v>501</v>
      </c>
      <c r="C3539" t="s">
        <v>48</v>
      </c>
      <c r="D3539">
        <v>2020</v>
      </c>
      <c r="E3539" t="s">
        <v>37</v>
      </c>
      <c r="F3539" t="s">
        <v>34</v>
      </c>
      <c r="G3539" t="s">
        <v>15</v>
      </c>
      <c r="H3539" t="s">
        <v>16</v>
      </c>
      <c r="I3539">
        <v>3.079807E-2</v>
      </c>
      <c r="J3539">
        <v>15.7</v>
      </c>
      <c r="K3539">
        <v>252.97239999999999</v>
      </c>
      <c r="L3539">
        <v>4</v>
      </c>
    </row>
    <row r="3540" spans="1:12"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1164</v>
      </c>
      <c r="C3543" t="s">
        <v>32</v>
      </c>
      <c r="D3543">
        <v>2020</v>
      </c>
      <c r="E3543" t="s">
        <v>37</v>
      </c>
      <c r="F3543" t="s">
        <v>34</v>
      </c>
      <c r="G3543" t="s">
        <v>15</v>
      </c>
      <c r="H3543" t="s">
        <v>16</v>
      </c>
      <c r="I3543">
        <v>0.11330222299999999</v>
      </c>
      <c r="J3543">
        <v>8.85</v>
      </c>
      <c r="K3543">
        <v>125.1388</v>
      </c>
      <c r="L3543">
        <v>4</v>
      </c>
    </row>
    <row r="3544" spans="1:12"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
      <c r="A3548" t="s">
        <v>10</v>
      </c>
      <c r="B3548" t="s">
        <v>774</v>
      </c>
      <c r="C3548" t="s">
        <v>12</v>
      </c>
      <c r="D3548">
        <v>2015</v>
      </c>
      <c r="E3548" t="s">
        <v>33</v>
      </c>
      <c r="F3548" t="s">
        <v>34</v>
      </c>
      <c r="G3548" t="s">
        <v>15</v>
      </c>
      <c r="H3548" t="s">
        <v>16</v>
      </c>
      <c r="I3548">
        <v>0.103129612</v>
      </c>
      <c r="J3548">
        <v>6.11</v>
      </c>
      <c r="K3548">
        <v>129.5968</v>
      </c>
      <c r="L3548">
        <v>4</v>
      </c>
    </row>
    <row r="3549" spans="1:12" x14ac:dyDescent="0.3">
      <c r="A3549" t="s">
        <v>10</v>
      </c>
      <c r="B3549" t="s">
        <v>1181</v>
      </c>
      <c r="C3549" t="s">
        <v>12</v>
      </c>
      <c r="D3549">
        <v>2015</v>
      </c>
      <c r="E3549" t="s">
        <v>33</v>
      </c>
      <c r="F3549" t="s">
        <v>34</v>
      </c>
      <c r="G3549" t="s">
        <v>15</v>
      </c>
      <c r="H3549" t="s">
        <v>16</v>
      </c>
      <c r="I3549">
        <v>1.2229464000000001E-2</v>
      </c>
      <c r="J3549">
        <v>18.2</v>
      </c>
      <c r="K3549">
        <v>56.8904</v>
      </c>
      <c r="L3549">
        <v>4</v>
      </c>
    </row>
    <row r="3550" spans="1:12"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
      <c r="A3583" t="s">
        <v>10</v>
      </c>
      <c r="B3583" t="s">
        <v>266</v>
      </c>
      <c r="C3583" t="s">
        <v>95</v>
      </c>
      <c r="D3583">
        <v>2017</v>
      </c>
      <c r="E3583" t="s">
        <v>50</v>
      </c>
      <c r="F3583" t="s">
        <v>34</v>
      </c>
      <c r="G3583" t="s">
        <v>26</v>
      </c>
      <c r="H3583" t="s">
        <v>16</v>
      </c>
      <c r="I3583">
        <v>0.117339056</v>
      </c>
      <c r="J3583">
        <v>20.2</v>
      </c>
      <c r="K3583">
        <v>195.011</v>
      </c>
      <c r="L3583">
        <v>4</v>
      </c>
    </row>
    <row r="3584" spans="1:12"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
      <c r="A3586" t="s">
        <v>10</v>
      </c>
      <c r="B3586" t="s">
        <v>1156</v>
      </c>
      <c r="C3586" t="s">
        <v>28</v>
      </c>
      <c r="D3586">
        <v>2017</v>
      </c>
      <c r="E3586" t="s">
        <v>50</v>
      </c>
      <c r="F3586" t="s">
        <v>34</v>
      </c>
      <c r="G3586" t="s">
        <v>26</v>
      </c>
      <c r="H3586" t="s">
        <v>16</v>
      </c>
      <c r="I3586">
        <v>0.170251293</v>
      </c>
      <c r="J3586">
        <v>11.8</v>
      </c>
      <c r="K3586">
        <v>116.4834</v>
      </c>
      <c r="L3586">
        <v>4</v>
      </c>
    </row>
    <row r="3587" spans="1:12" x14ac:dyDescent="0.3">
      <c r="A3587" t="s">
        <v>10</v>
      </c>
      <c r="B3587" t="s">
        <v>1218</v>
      </c>
      <c r="C3587" t="s">
        <v>28</v>
      </c>
      <c r="D3587">
        <v>2017</v>
      </c>
      <c r="E3587" t="s">
        <v>50</v>
      </c>
      <c r="F3587" t="s">
        <v>34</v>
      </c>
      <c r="G3587" t="s">
        <v>26</v>
      </c>
      <c r="H3587" t="s">
        <v>16</v>
      </c>
      <c r="I3587">
        <v>2.7341529E-2</v>
      </c>
      <c r="J3587">
        <v>19.5</v>
      </c>
      <c r="K3587">
        <v>158.292</v>
      </c>
      <c r="L3587">
        <v>4</v>
      </c>
    </row>
    <row r="3588" spans="1:12"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
      <c r="A3591" t="s">
        <v>10</v>
      </c>
      <c r="B3591" t="s">
        <v>1494</v>
      </c>
      <c r="C3591" t="s">
        <v>24</v>
      </c>
      <c r="D3591">
        <v>2017</v>
      </c>
      <c r="E3591" t="s">
        <v>50</v>
      </c>
      <c r="F3591" t="s">
        <v>34</v>
      </c>
      <c r="G3591" t="s">
        <v>26</v>
      </c>
      <c r="H3591" t="s">
        <v>16</v>
      </c>
      <c r="I3591">
        <v>0</v>
      </c>
      <c r="J3591">
        <v>18.7</v>
      </c>
      <c r="K3591">
        <v>229.20099999999999</v>
      </c>
      <c r="L3591">
        <v>4</v>
      </c>
    </row>
    <row r="3592" spans="1:12"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154</v>
      </c>
      <c r="C3626" t="s">
        <v>74</v>
      </c>
      <c r="D3626">
        <v>2011</v>
      </c>
      <c r="E3626" t="s">
        <v>39</v>
      </c>
      <c r="F3626" t="s">
        <v>21</v>
      </c>
      <c r="G3626" t="s">
        <v>30</v>
      </c>
      <c r="H3626" t="s">
        <v>40</v>
      </c>
      <c r="I3626">
        <v>9.4265737000000002E-2</v>
      </c>
      <c r="J3626">
        <v>13.85</v>
      </c>
      <c r="K3626">
        <v>233.93</v>
      </c>
      <c r="L3626">
        <v>4</v>
      </c>
    </row>
    <row r="3627" spans="1:12"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1479</v>
      </c>
      <c r="C3679" t="s">
        <v>95</v>
      </c>
      <c r="D3679">
        <v>2014</v>
      </c>
      <c r="E3679" t="s">
        <v>29</v>
      </c>
      <c r="F3679" t="s">
        <v>21</v>
      </c>
      <c r="G3679" t="s">
        <v>30</v>
      </c>
      <c r="H3679" t="s">
        <v>16</v>
      </c>
      <c r="I3679">
        <v>1.7047751E-2</v>
      </c>
      <c r="J3679">
        <v>5.44</v>
      </c>
      <c r="K3679">
        <v>174.637</v>
      </c>
      <c r="L3679">
        <v>4</v>
      </c>
    </row>
    <row r="3680" spans="1:12"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
      <c r="A3681" t="s">
        <v>10</v>
      </c>
      <c r="B3681" t="s">
        <v>802</v>
      </c>
      <c r="C3681" t="s">
        <v>95</v>
      </c>
      <c r="D3681">
        <v>2014</v>
      </c>
      <c r="E3681" t="s">
        <v>29</v>
      </c>
      <c r="F3681" t="s">
        <v>21</v>
      </c>
      <c r="G3681" t="s">
        <v>30</v>
      </c>
      <c r="H3681" t="s">
        <v>16</v>
      </c>
      <c r="I3681">
        <v>0.106663245</v>
      </c>
      <c r="J3681">
        <v>16</v>
      </c>
      <c r="K3681">
        <v>179.76339999999999</v>
      </c>
      <c r="L3681">
        <v>4</v>
      </c>
    </row>
    <row r="3682" spans="1:12"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186</v>
      </c>
      <c r="C3685" t="s">
        <v>28</v>
      </c>
      <c r="D3685">
        <v>2014</v>
      </c>
      <c r="E3685" t="s">
        <v>29</v>
      </c>
      <c r="F3685" t="s">
        <v>21</v>
      </c>
      <c r="G3685" t="s">
        <v>30</v>
      </c>
      <c r="H3685" t="s">
        <v>16</v>
      </c>
      <c r="I3685">
        <v>0</v>
      </c>
      <c r="J3685">
        <v>8.1</v>
      </c>
      <c r="K3685">
        <v>88.519800000000004</v>
      </c>
      <c r="L3685">
        <v>4</v>
      </c>
    </row>
    <row r="3686" spans="1:12" x14ac:dyDescent="0.3">
      <c r="A3686" t="s">
        <v>10</v>
      </c>
      <c r="B3686" t="s">
        <v>726</v>
      </c>
      <c r="C3686" t="s">
        <v>28</v>
      </c>
      <c r="D3686">
        <v>2014</v>
      </c>
      <c r="E3686" t="s">
        <v>29</v>
      </c>
      <c r="F3686" t="s">
        <v>21</v>
      </c>
      <c r="G3686" t="s">
        <v>30</v>
      </c>
      <c r="H3686" t="s">
        <v>16</v>
      </c>
      <c r="I3686">
        <v>8.3444376000000001E-2</v>
      </c>
      <c r="J3686">
        <v>13</v>
      </c>
      <c r="K3686">
        <v>195.8426</v>
      </c>
      <c r="L3686">
        <v>4</v>
      </c>
    </row>
    <row r="3687" spans="1:12" x14ac:dyDescent="0.3">
      <c r="A3687" t="s">
        <v>10</v>
      </c>
      <c r="B3687" t="s">
        <v>1458</v>
      </c>
      <c r="C3687" t="s">
        <v>28</v>
      </c>
      <c r="D3687">
        <v>2014</v>
      </c>
      <c r="E3687" t="s">
        <v>29</v>
      </c>
      <c r="F3687" t="s">
        <v>21</v>
      </c>
      <c r="G3687" t="s">
        <v>30</v>
      </c>
      <c r="H3687" t="s">
        <v>16</v>
      </c>
      <c r="I3687">
        <v>2.7594064000000001E-2</v>
      </c>
      <c r="J3687">
        <v>15.7</v>
      </c>
      <c r="K3687">
        <v>171.179</v>
      </c>
      <c r="L3687">
        <v>4</v>
      </c>
    </row>
    <row r="3688" spans="1:12"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
      <c r="A3700" t="s">
        <v>10</v>
      </c>
      <c r="B3700" t="s">
        <v>761</v>
      </c>
      <c r="C3700" t="s">
        <v>32</v>
      </c>
      <c r="D3700">
        <v>2014</v>
      </c>
      <c r="E3700" t="s">
        <v>29</v>
      </c>
      <c r="F3700" t="s">
        <v>21</v>
      </c>
      <c r="G3700" t="s">
        <v>30</v>
      </c>
      <c r="H3700" t="s">
        <v>16</v>
      </c>
      <c r="I3700">
        <v>0</v>
      </c>
      <c r="J3700">
        <v>13</v>
      </c>
      <c r="K3700">
        <v>173.6054</v>
      </c>
      <c r="L3700">
        <v>4</v>
      </c>
    </row>
    <row r="3701" spans="1:12"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983</v>
      </c>
      <c r="C3746" t="s">
        <v>57</v>
      </c>
      <c r="D3746">
        <v>2022</v>
      </c>
      <c r="E3746" t="s">
        <v>20</v>
      </c>
      <c r="F3746" t="s">
        <v>21</v>
      </c>
      <c r="G3746" t="s">
        <v>15</v>
      </c>
      <c r="H3746" t="s">
        <v>22</v>
      </c>
      <c r="I3746">
        <v>2.236923E-2</v>
      </c>
      <c r="J3746">
        <v>9.6</v>
      </c>
      <c r="K3746">
        <v>104.79900000000001</v>
      </c>
      <c r="L3746">
        <v>4</v>
      </c>
    </row>
    <row r="3747" spans="1:12"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786</v>
      </c>
      <c r="C3750" t="s">
        <v>28</v>
      </c>
      <c r="D3750">
        <v>2022</v>
      </c>
      <c r="E3750" t="s">
        <v>20</v>
      </c>
      <c r="F3750" t="s">
        <v>21</v>
      </c>
      <c r="G3750" t="s">
        <v>15</v>
      </c>
      <c r="H3750" t="s">
        <v>22</v>
      </c>
      <c r="I3750">
        <v>8.5296625000000001E-2</v>
      </c>
      <c r="J3750">
        <v>19.2</v>
      </c>
      <c r="K3750">
        <v>153.4314</v>
      </c>
      <c r="L3750">
        <v>4</v>
      </c>
    </row>
    <row r="3751" spans="1:12" x14ac:dyDescent="0.3">
      <c r="A3751" t="s">
        <v>10</v>
      </c>
      <c r="B3751" t="s">
        <v>1218</v>
      </c>
      <c r="C3751" t="s">
        <v>28</v>
      </c>
      <c r="D3751">
        <v>2022</v>
      </c>
      <c r="E3751" t="s">
        <v>20</v>
      </c>
      <c r="F3751" t="s">
        <v>21</v>
      </c>
      <c r="G3751" t="s">
        <v>15</v>
      </c>
      <c r="H3751" t="s">
        <v>22</v>
      </c>
      <c r="I3751">
        <v>2.7458099E-2</v>
      </c>
      <c r="J3751">
        <v>19.5</v>
      </c>
      <c r="K3751">
        <v>158.792</v>
      </c>
      <c r="L3751">
        <v>4</v>
      </c>
    </row>
    <row r="3752" spans="1:12"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
      <c r="A3757" t="s">
        <v>10</v>
      </c>
      <c r="B3757" t="s">
        <v>360</v>
      </c>
      <c r="C3757" t="s">
        <v>12</v>
      </c>
      <c r="D3757">
        <v>2022</v>
      </c>
      <c r="E3757" t="s">
        <v>20</v>
      </c>
      <c r="F3757" t="s">
        <v>21</v>
      </c>
      <c r="G3757" t="s">
        <v>15</v>
      </c>
      <c r="H3757" t="s">
        <v>22</v>
      </c>
      <c r="I3757">
        <v>3.0693755999999999E-2</v>
      </c>
      <c r="J3757">
        <v>10.3</v>
      </c>
      <c r="K3757">
        <v>114.2176</v>
      </c>
      <c r="L3757">
        <v>4</v>
      </c>
    </row>
    <row r="3758" spans="1:12"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
      <c r="A3762" t="s">
        <v>10</v>
      </c>
      <c r="B3762" t="s">
        <v>1099</v>
      </c>
      <c r="C3762" t="s">
        <v>48</v>
      </c>
      <c r="D3762">
        <v>2022</v>
      </c>
      <c r="E3762" t="s">
        <v>20</v>
      </c>
      <c r="F3762" t="s">
        <v>21</v>
      </c>
      <c r="G3762" t="s">
        <v>15</v>
      </c>
      <c r="H3762" t="s">
        <v>22</v>
      </c>
      <c r="I3762">
        <v>3.7918142000000002E-2</v>
      </c>
      <c r="J3762">
        <v>10</v>
      </c>
      <c r="K3762">
        <v>129.6994</v>
      </c>
      <c r="L3762">
        <v>4</v>
      </c>
    </row>
    <row r="3763" spans="1:12"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x14ac:dyDescent="0.3">
      <c r="A3799" t="s">
        <v>10</v>
      </c>
      <c r="B3799" t="s">
        <v>1398</v>
      </c>
      <c r="C3799" t="s">
        <v>95</v>
      </c>
      <c r="D3799">
        <v>2018</v>
      </c>
      <c r="E3799" t="s">
        <v>45</v>
      </c>
      <c r="F3799" t="s">
        <v>21</v>
      </c>
      <c r="G3799" t="s">
        <v>15</v>
      </c>
      <c r="H3799" t="s">
        <v>46</v>
      </c>
      <c r="I3799">
        <v>3.4244601E-2</v>
      </c>
      <c r="K3799">
        <v>97.272599999999997</v>
      </c>
      <c r="L3799">
        <v>4</v>
      </c>
    </row>
    <row r="3800" spans="1:12" x14ac:dyDescent="0.3">
      <c r="A3800" t="s">
        <v>10</v>
      </c>
      <c r="B3800" t="s">
        <v>1424</v>
      </c>
      <c r="C3800" t="s">
        <v>95</v>
      </c>
      <c r="D3800">
        <v>2018</v>
      </c>
      <c r="E3800" t="s">
        <v>45</v>
      </c>
      <c r="F3800" t="s">
        <v>21</v>
      </c>
      <c r="G3800" t="s">
        <v>15</v>
      </c>
      <c r="H3800" t="s">
        <v>46</v>
      </c>
      <c r="I3800">
        <v>2.6243240000000001E-2</v>
      </c>
      <c r="K3800">
        <v>143.81280000000001</v>
      </c>
      <c r="L3800">
        <v>4</v>
      </c>
    </row>
    <row r="3801" spans="1:12" x14ac:dyDescent="0.3">
      <c r="A3801" t="s">
        <v>10</v>
      </c>
      <c r="B3801" t="s">
        <v>1174</v>
      </c>
      <c r="C3801" t="s">
        <v>57</v>
      </c>
      <c r="D3801">
        <v>2018</v>
      </c>
      <c r="E3801" t="s">
        <v>45</v>
      </c>
      <c r="F3801" t="s">
        <v>21</v>
      </c>
      <c r="G3801" t="s">
        <v>15</v>
      </c>
      <c r="H3801" t="s">
        <v>46</v>
      </c>
      <c r="I3801">
        <v>3.4436769999999998E-2</v>
      </c>
      <c r="K3801">
        <v>156.52879999999999</v>
      </c>
      <c r="L3801">
        <v>4</v>
      </c>
    </row>
    <row r="3802" spans="1:12" x14ac:dyDescent="0.3">
      <c r="A3802" t="s">
        <v>10</v>
      </c>
      <c r="B3802" t="s">
        <v>938</v>
      </c>
      <c r="C3802" t="s">
        <v>28</v>
      </c>
      <c r="D3802">
        <v>2018</v>
      </c>
      <c r="E3802" t="s">
        <v>45</v>
      </c>
      <c r="F3802" t="s">
        <v>21</v>
      </c>
      <c r="G3802" t="s">
        <v>15</v>
      </c>
      <c r="H3802" t="s">
        <v>46</v>
      </c>
      <c r="I3802">
        <v>5.2473797000000003E-2</v>
      </c>
      <c r="K3802">
        <v>83.622399999999999</v>
      </c>
      <c r="L3802">
        <v>4</v>
      </c>
    </row>
    <row r="3803" spans="1:12" x14ac:dyDescent="0.3">
      <c r="A3803" t="s">
        <v>10</v>
      </c>
      <c r="B3803" t="s">
        <v>1177</v>
      </c>
      <c r="C3803" t="s">
        <v>28</v>
      </c>
      <c r="D3803">
        <v>2018</v>
      </c>
      <c r="E3803" t="s">
        <v>45</v>
      </c>
      <c r="F3803" t="s">
        <v>21</v>
      </c>
      <c r="G3803" t="s">
        <v>15</v>
      </c>
      <c r="H3803" t="s">
        <v>46</v>
      </c>
      <c r="I3803">
        <v>2.8139760999999999E-2</v>
      </c>
      <c r="K3803">
        <v>173.7422</v>
      </c>
      <c r="L3803">
        <v>4</v>
      </c>
    </row>
    <row r="3804" spans="1:12" x14ac:dyDescent="0.3">
      <c r="A3804" t="s">
        <v>10</v>
      </c>
      <c r="B3804" t="s">
        <v>978</v>
      </c>
      <c r="C3804" t="s">
        <v>67</v>
      </c>
      <c r="D3804">
        <v>2018</v>
      </c>
      <c r="E3804" t="s">
        <v>45</v>
      </c>
      <c r="F3804" t="s">
        <v>21</v>
      </c>
      <c r="G3804" t="s">
        <v>15</v>
      </c>
      <c r="H3804" t="s">
        <v>46</v>
      </c>
      <c r="I3804">
        <v>2.2403117E-2</v>
      </c>
      <c r="K3804">
        <v>250.9092</v>
      </c>
      <c r="L3804">
        <v>4</v>
      </c>
    </row>
    <row r="3805" spans="1:12" x14ac:dyDescent="0.3">
      <c r="A3805" t="s">
        <v>10</v>
      </c>
      <c r="B3805" t="s">
        <v>698</v>
      </c>
      <c r="C3805" t="s">
        <v>67</v>
      </c>
      <c r="D3805">
        <v>2018</v>
      </c>
      <c r="E3805" t="s">
        <v>45</v>
      </c>
      <c r="F3805" t="s">
        <v>21</v>
      </c>
      <c r="G3805" t="s">
        <v>15</v>
      </c>
      <c r="H3805" t="s">
        <v>46</v>
      </c>
      <c r="I3805">
        <v>7.4806196000000005E-2</v>
      </c>
      <c r="K3805">
        <v>112.91759999999999</v>
      </c>
      <c r="L3805">
        <v>4</v>
      </c>
    </row>
    <row r="3806" spans="1:12" x14ac:dyDescent="0.3">
      <c r="A3806" t="s">
        <v>10</v>
      </c>
      <c r="B3806" t="s">
        <v>1415</v>
      </c>
      <c r="C3806" t="s">
        <v>24</v>
      </c>
      <c r="D3806">
        <v>2018</v>
      </c>
      <c r="E3806" t="s">
        <v>45</v>
      </c>
      <c r="F3806" t="s">
        <v>21</v>
      </c>
      <c r="G3806" t="s">
        <v>15</v>
      </c>
      <c r="H3806" t="s">
        <v>46</v>
      </c>
      <c r="I3806">
        <v>8.7421737999999999E-2</v>
      </c>
      <c r="K3806">
        <v>154.46299999999999</v>
      </c>
      <c r="L3806">
        <v>4</v>
      </c>
    </row>
    <row r="3807" spans="1:12" x14ac:dyDescent="0.3">
      <c r="A3807" t="s">
        <v>10</v>
      </c>
      <c r="B3807" t="s">
        <v>940</v>
      </c>
      <c r="C3807" t="s">
        <v>24</v>
      </c>
      <c r="D3807">
        <v>2018</v>
      </c>
      <c r="E3807" t="s">
        <v>45</v>
      </c>
      <c r="F3807" t="s">
        <v>21</v>
      </c>
      <c r="G3807" t="s">
        <v>15</v>
      </c>
      <c r="H3807" t="s">
        <v>46</v>
      </c>
      <c r="I3807">
        <v>4.8426707999999999E-2</v>
      </c>
      <c r="K3807">
        <v>258.7278</v>
      </c>
      <c r="L3807">
        <v>4</v>
      </c>
    </row>
    <row r="3808" spans="1:12" x14ac:dyDescent="0.3">
      <c r="A3808" t="s">
        <v>10</v>
      </c>
      <c r="B3808" t="s">
        <v>529</v>
      </c>
      <c r="C3808" t="s">
        <v>24</v>
      </c>
      <c r="D3808">
        <v>2018</v>
      </c>
      <c r="E3808" t="s">
        <v>45</v>
      </c>
      <c r="F3808" t="s">
        <v>21</v>
      </c>
      <c r="G3808" t="s">
        <v>15</v>
      </c>
      <c r="H3808" t="s">
        <v>46</v>
      </c>
      <c r="I3808">
        <v>0.14928877900000001</v>
      </c>
      <c r="K3808">
        <v>158.4288</v>
      </c>
      <c r="L3808">
        <v>4</v>
      </c>
    </row>
    <row r="3809" spans="1:12" x14ac:dyDescent="0.3">
      <c r="A3809" t="s">
        <v>10</v>
      </c>
      <c r="B3809" t="s">
        <v>922</v>
      </c>
      <c r="C3809" t="s">
        <v>24</v>
      </c>
      <c r="D3809">
        <v>2018</v>
      </c>
      <c r="E3809" t="s">
        <v>45</v>
      </c>
      <c r="F3809" t="s">
        <v>21</v>
      </c>
      <c r="G3809" t="s">
        <v>15</v>
      </c>
      <c r="H3809" t="s">
        <v>46</v>
      </c>
      <c r="I3809">
        <v>9.1780141999999995E-2</v>
      </c>
      <c r="K3809">
        <v>182.5266</v>
      </c>
      <c r="L3809">
        <v>4</v>
      </c>
    </row>
    <row r="3810" spans="1:12" x14ac:dyDescent="0.3">
      <c r="A3810" t="s">
        <v>10</v>
      </c>
      <c r="B3810" t="s">
        <v>55</v>
      </c>
      <c r="C3810" t="s">
        <v>12</v>
      </c>
      <c r="D3810">
        <v>2018</v>
      </c>
      <c r="E3810" t="s">
        <v>45</v>
      </c>
      <c r="F3810" t="s">
        <v>21</v>
      </c>
      <c r="G3810" t="s">
        <v>15</v>
      </c>
      <c r="H3810" t="s">
        <v>46</v>
      </c>
      <c r="I3810">
        <v>1.8714040000000001E-2</v>
      </c>
      <c r="K3810">
        <v>223.47720000000001</v>
      </c>
      <c r="L3810">
        <v>4</v>
      </c>
    </row>
    <row r="3811" spans="1:12" x14ac:dyDescent="0.3">
      <c r="A3811" t="s">
        <v>10</v>
      </c>
      <c r="B3811" t="s">
        <v>1055</v>
      </c>
      <c r="C3811" t="s">
        <v>12</v>
      </c>
      <c r="D3811">
        <v>2018</v>
      </c>
      <c r="E3811" t="s">
        <v>45</v>
      </c>
      <c r="F3811" t="s">
        <v>21</v>
      </c>
      <c r="G3811" t="s">
        <v>15</v>
      </c>
      <c r="H3811" t="s">
        <v>46</v>
      </c>
      <c r="I3811">
        <v>0.102949031</v>
      </c>
      <c r="K3811">
        <v>225.27199999999999</v>
      </c>
      <c r="L3811">
        <v>4</v>
      </c>
    </row>
    <row r="3812" spans="1:12" x14ac:dyDescent="0.3">
      <c r="A3812" t="s">
        <v>10</v>
      </c>
      <c r="B3812" t="s">
        <v>1426</v>
      </c>
      <c r="C3812" t="s">
        <v>12</v>
      </c>
      <c r="D3812">
        <v>2018</v>
      </c>
      <c r="E3812" t="s">
        <v>45</v>
      </c>
      <c r="F3812" t="s">
        <v>21</v>
      </c>
      <c r="G3812" t="s">
        <v>15</v>
      </c>
      <c r="H3812" t="s">
        <v>46</v>
      </c>
      <c r="I3812">
        <v>0.121712459</v>
      </c>
      <c r="K3812">
        <v>101.2016</v>
      </c>
      <c r="L3812">
        <v>4</v>
      </c>
    </row>
    <row r="3813" spans="1:12" x14ac:dyDescent="0.3">
      <c r="A3813" t="s">
        <v>10</v>
      </c>
      <c r="B3813" t="s">
        <v>1180</v>
      </c>
      <c r="C3813" t="s">
        <v>12</v>
      </c>
      <c r="D3813">
        <v>2018</v>
      </c>
      <c r="E3813" t="s">
        <v>45</v>
      </c>
      <c r="F3813" t="s">
        <v>21</v>
      </c>
      <c r="G3813" t="s">
        <v>15</v>
      </c>
      <c r="H3813" t="s">
        <v>46</v>
      </c>
      <c r="I3813">
        <v>8.7936752000000007E-2</v>
      </c>
      <c r="K3813">
        <v>115.9466</v>
      </c>
      <c r="L3813">
        <v>4</v>
      </c>
    </row>
    <row r="3814" spans="1:12" x14ac:dyDescent="0.3">
      <c r="A3814" t="s">
        <v>10</v>
      </c>
      <c r="B3814" t="s">
        <v>256</v>
      </c>
      <c r="C3814" t="s">
        <v>12</v>
      </c>
      <c r="D3814">
        <v>2018</v>
      </c>
      <c r="E3814" t="s">
        <v>45</v>
      </c>
      <c r="F3814" t="s">
        <v>21</v>
      </c>
      <c r="G3814" t="s">
        <v>15</v>
      </c>
      <c r="H3814" t="s">
        <v>46</v>
      </c>
      <c r="I3814">
        <v>1.4295564E-2</v>
      </c>
      <c r="K3814">
        <v>242.65119999999999</v>
      </c>
      <c r="L3814">
        <v>4</v>
      </c>
    </row>
    <row r="3815" spans="1:12" x14ac:dyDescent="0.3">
      <c r="A3815" t="s">
        <v>10</v>
      </c>
      <c r="B3815" t="s">
        <v>925</v>
      </c>
      <c r="C3815" t="s">
        <v>12</v>
      </c>
      <c r="D3815">
        <v>2018</v>
      </c>
      <c r="E3815" t="s">
        <v>45</v>
      </c>
      <c r="F3815" t="s">
        <v>21</v>
      </c>
      <c r="G3815" t="s">
        <v>15</v>
      </c>
      <c r="H3815" t="s">
        <v>46</v>
      </c>
      <c r="I3815">
        <v>5.7762301000000002E-2</v>
      </c>
      <c r="K3815">
        <v>237.35640000000001</v>
      </c>
      <c r="L3815">
        <v>4</v>
      </c>
    </row>
    <row r="3816" spans="1:12" x14ac:dyDescent="0.3">
      <c r="A3816" t="s">
        <v>10</v>
      </c>
      <c r="B3816" t="s">
        <v>1140</v>
      </c>
      <c r="C3816" t="s">
        <v>12</v>
      </c>
      <c r="D3816">
        <v>2018</v>
      </c>
      <c r="E3816" t="s">
        <v>45</v>
      </c>
      <c r="F3816" t="s">
        <v>21</v>
      </c>
      <c r="G3816" t="s">
        <v>15</v>
      </c>
      <c r="H3816" t="s">
        <v>46</v>
      </c>
      <c r="I3816">
        <v>2.1863506000000001E-2</v>
      </c>
      <c r="K3816">
        <v>247.00919999999999</v>
      </c>
      <c r="L3816">
        <v>4</v>
      </c>
    </row>
    <row r="3817" spans="1:12" x14ac:dyDescent="0.3">
      <c r="A3817" t="s">
        <v>10</v>
      </c>
      <c r="B3817" t="s">
        <v>1012</v>
      </c>
      <c r="C3817" t="s">
        <v>12</v>
      </c>
      <c r="D3817">
        <v>2018</v>
      </c>
      <c r="E3817" t="s">
        <v>45</v>
      </c>
      <c r="F3817" t="s">
        <v>21</v>
      </c>
      <c r="G3817" t="s">
        <v>15</v>
      </c>
      <c r="H3817" t="s">
        <v>46</v>
      </c>
      <c r="I3817">
        <v>0.112668963</v>
      </c>
      <c r="K3817">
        <v>191.0504</v>
      </c>
      <c r="L3817">
        <v>4</v>
      </c>
    </row>
    <row r="3818" spans="1:12" x14ac:dyDescent="0.3">
      <c r="A3818" t="s">
        <v>10</v>
      </c>
      <c r="B3818" t="s">
        <v>885</v>
      </c>
      <c r="C3818" t="s">
        <v>54</v>
      </c>
      <c r="D3818">
        <v>2018</v>
      </c>
      <c r="E3818" t="s">
        <v>45</v>
      </c>
      <c r="F3818" t="s">
        <v>21</v>
      </c>
      <c r="G3818" t="s">
        <v>15</v>
      </c>
      <c r="H3818" t="s">
        <v>46</v>
      </c>
      <c r="I3818">
        <v>2.0312314000000001E-2</v>
      </c>
      <c r="K3818">
        <v>98.104200000000006</v>
      </c>
      <c r="L3818">
        <v>4</v>
      </c>
    </row>
    <row r="3819" spans="1:12" x14ac:dyDescent="0.3">
      <c r="A3819" t="s">
        <v>10</v>
      </c>
      <c r="B3819" t="s">
        <v>837</v>
      </c>
      <c r="C3819" t="s">
        <v>54</v>
      </c>
      <c r="D3819">
        <v>2018</v>
      </c>
      <c r="E3819" t="s">
        <v>45</v>
      </c>
      <c r="F3819" t="s">
        <v>21</v>
      </c>
      <c r="G3819" t="s">
        <v>15</v>
      </c>
      <c r="H3819" t="s">
        <v>46</v>
      </c>
      <c r="I3819">
        <v>0.13670167799999999</v>
      </c>
      <c r="K3819">
        <v>182.16079999999999</v>
      </c>
      <c r="L3819">
        <v>4</v>
      </c>
    </row>
    <row r="3820" spans="1:12" x14ac:dyDescent="0.3">
      <c r="A3820" t="s">
        <v>10</v>
      </c>
      <c r="B3820" t="s">
        <v>1444</v>
      </c>
      <c r="C3820" t="s">
        <v>54</v>
      </c>
      <c r="D3820">
        <v>2018</v>
      </c>
      <c r="E3820" t="s">
        <v>45</v>
      </c>
      <c r="F3820" t="s">
        <v>21</v>
      </c>
      <c r="G3820" t="s">
        <v>15</v>
      </c>
      <c r="H3820" t="s">
        <v>46</v>
      </c>
      <c r="I3820">
        <v>1.7466283999999999E-2</v>
      </c>
      <c r="K3820">
        <v>45.471800000000002</v>
      </c>
      <c r="L3820">
        <v>4</v>
      </c>
    </row>
    <row r="3821" spans="1:12" x14ac:dyDescent="0.3">
      <c r="A3821" t="s">
        <v>10</v>
      </c>
      <c r="B3821" t="s">
        <v>599</v>
      </c>
      <c r="C3821" t="s">
        <v>54</v>
      </c>
      <c r="D3821">
        <v>2018</v>
      </c>
      <c r="E3821" t="s">
        <v>45</v>
      </c>
      <c r="F3821" t="s">
        <v>21</v>
      </c>
      <c r="G3821" t="s">
        <v>15</v>
      </c>
      <c r="H3821" t="s">
        <v>46</v>
      </c>
      <c r="I3821">
        <v>5.4288646000000003E-2</v>
      </c>
      <c r="K3821">
        <v>96.609399999999994</v>
      </c>
      <c r="L3821">
        <v>4</v>
      </c>
    </row>
    <row r="3822" spans="1:12" x14ac:dyDescent="0.3">
      <c r="A3822" t="s">
        <v>10</v>
      </c>
      <c r="B3822" t="s">
        <v>1030</v>
      </c>
      <c r="C3822" t="s">
        <v>48</v>
      </c>
      <c r="D3822">
        <v>2018</v>
      </c>
      <c r="E3822" t="s">
        <v>45</v>
      </c>
      <c r="F3822" t="s">
        <v>21</v>
      </c>
      <c r="G3822" t="s">
        <v>15</v>
      </c>
      <c r="H3822" t="s">
        <v>46</v>
      </c>
      <c r="I3822">
        <v>0.127416049</v>
      </c>
      <c r="K3822">
        <v>167.48159999999999</v>
      </c>
      <c r="L3822">
        <v>4</v>
      </c>
    </row>
    <row r="3823" spans="1:12" x14ac:dyDescent="0.3">
      <c r="A3823" t="s">
        <v>10</v>
      </c>
      <c r="B3823" t="s">
        <v>262</v>
      </c>
      <c r="C3823" t="s">
        <v>48</v>
      </c>
      <c r="D3823">
        <v>2018</v>
      </c>
      <c r="E3823" t="s">
        <v>45</v>
      </c>
      <c r="F3823" t="s">
        <v>21</v>
      </c>
      <c r="G3823" t="s">
        <v>15</v>
      </c>
      <c r="H3823" t="s">
        <v>46</v>
      </c>
      <c r="I3823">
        <v>0.124668026</v>
      </c>
      <c r="K3823">
        <v>261.09100000000001</v>
      </c>
      <c r="L3823">
        <v>4</v>
      </c>
    </row>
    <row r="3824" spans="1:12" x14ac:dyDescent="0.3">
      <c r="A3824" t="s">
        <v>10</v>
      </c>
      <c r="B3824" t="s">
        <v>82</v>
      </c>
      <c r="C3824" t="s">
        <v>48</v>
      </c>
      <c r="D3824">
        <v>2018</v>
      </c>
      <c r="E3824" t="s">
        <v>45</v>
      </c>
      <c r="F3824" t="s">
        <v>21</v>
      </c>
      <c r="G3824" t="s">
        <v>15</v>
      </c>
      <c r="H3824" t="s">
        <v>46</v>
      </c>
      <c r="I3824">
        <v>3.7768989000000003E-2</v>
      </c>
      <c r="K3824">
        <v>88.585599999999999</v>
      </c>
      <c r="L3824">
        <v>4</v>
      </c>
    </row>
    <row r="3825" spans="1:12" x14ac:dyDescent="0.3">
      <c r="A3825" t="s">
        <v>10</v>
      </c>
      <c r="B3825" t="s">
        <v>501</v>
      </c>
      <c r="C3825" t="s">
        <v>48</v>
      </c>
      <c r="D3825">
        <v>2018</v>
      </c>
      <c r="E3825" t="s">
        <v>45</v>
      </c>
      <c r="F3825" t="s">
        <v>21</v>
      </c>
      <c r="G3825" t="s">
        <v>15</v>
      </c>
      <c r="H3825" t="s">
        <v>46</v>
      </c>
      <c r="I3825">
        <v>3.0476540999999999E-2</v>
      </c>
      <c r="K3825">
        <v>252.2724</v>
      </c>
      <c r="L3825">
        <v>4</v>
      </c>
    </row>
    <row r="3826" spans="1:12" x14ac:dyDescent="0.3">
      <c r="A3826" t="s">
        <v>10</v>
      </c>
      <c r="B3826" t="s">
        <v>520</v>
      </c>
      <c r="C3826" t="s">
        <v>32</v>
      </c>
      <c r="D3826">
        <v>2018</v>
      </c>
      <c r="E3826" t="s">
        <v>45</v>
      </c>
      <c r="F3826" t="s">
        <v>21</v>
      </c>
      <c r="G3826" t="s">
        <v>15</v>
      </c>
      <c r="H3826" t="s">
        <v>46</v>
      </c>
      <c r="I3826">
        <v>0.127308434</v>
      </c>
      <c r="K3826">
        <v>186.69239999999999</v>
      </c>
      <c r="L3826">
        <v>4</v>
      </c>
    </row>
    <row r="3827" spans="1:12" x14ac:dyDescent="0.3">
      <c r="A3827" t="s">
        <v>10</v>
      </c>
      <c r="B3827" t="s">
        <v>277</v>
      </c>
      <c r="C3827" t="s">
        <v>159</v>
      </c>
      <c r="D3827">
        <v>2018</v>
      </c>
      <c r="E3827" t="s">
        <v>45</v>
      </c>
      <c r="F3827" t="s">
        <v>21</v>
      </c>
      <c r="G3827" t="s">
        <v>15</v>
      </c>
      <c r="H3827" t="s">
        <v>46</v>
      </c>
      <c r="I3827">
        <v>5.5615380000000004E-3</v>
      </c>
      <c r="K3827">
        <v>224.00620000000001</v>
      </c>
      <c r="L3827">
        <v>4</v>
      </c>
    </row>
    <row r="3828" spans="1:12"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x14ac:dyDescent="0.3">
      <c r="A3910" t="s">
        <v>10</v>
      </c>
      <c r="B3910" t="s">
        <v>498</v>
      </c>
      <c r="C3910" t="s">
        <v>57</v>
      </c>
      <c r="D3910">
        <v>2018</v>
      </c>
      <c r="E3910" t="s">
        <v>138</v>
      </c>
      <c r="F3910" t="s">
        <v>14</v>
      </c>
      <c r="G3910" t="s">
        <v>26</v>
      </c>
      <c r="H3910" t="s">
        <v>40</v>
      </c>
      <c r="I3910">
        <v>2.8062401000000001E-2</v>
      </c>
      <c r="K3910">
        <v>44.040199999999999</v>
      </c>
      <c r="L3910">
        <v>3.9</v>
      </c>
    </row>
    <row r="3911" spans="1:12" x14ac:dyDescent="0.3">
      <c r="A3911" t="s">
        <v>10</v>
      </c>
      <c r="B3911" t="s">
        <v>1414</v>
      </c>
      <c r="C3911" t="s">
        <v>67</v>
      </c>
      <c r="D3911">
        <v>2018</v>
      </c>
      <c r="E3911" t="s">
        <v>138</v>
      </c>
      <c r="F3911" t="s">
        <v>14</v>
      </c>
      <c r="G3911" t="s">
        <v>26</v>
      </c>
      <c r="H3911" t="s">
        <v>40</v>
      </c>
      <c r="I3911">
        <v>1.4497036E-2</v>
      </c>
      <c r="K3911">
        <v>150.8708</v>
      </c>
      <c r="L3911">
        <v>3.9</v>
      </c>
    </row>
    <row r="3912" spans="1:12" x14ac:dyDescent="0.3">
      <c r="A3912" t="s">
        <v>10</v>
      </c>
      <c r="B3912" t="s">
        <v>1482</v>
      </c>
      <c r="C3912" t="s">
        <v>67</v>
      </c>
      <c r="D3912">
        <v>2018</v>
      </c>
      <c r="E3912" t="s">
        <v>138</v>
      </c>
      <c r="F3912" t="s">
        <v>14</v>
      </c>
      <c r="G3912" t="s">
        <v>26</v>
      </c>
      <c r="H3912" t="s">
        <v>40</v>
      </c>
      <c r="I3912">
        <v>0.173587926</v>
      </c>
      <c r="K3912">
        <v>60.019399999999997</v>
      </c>
      <c r="L3912">
        <v>3.9</v>
      </c>
    </row>
    <row r="3913" spans="1:12" x14ac:dyDescent="0.3">
      <c r="A3913" t="s">
        <v>10</v>
      </c>
      <c r="B3913" t="s">
        <v>978</v>
      </c>
      <c r="C3913" t="s">
        <v>67</v>
      </c>
      <c r="D3913">
        <v>2018</v>
      </c>
      <c r="E3913" t="s">
        <v>138</v>
      </c>
      <c r="F3913" t="s">
        <v>14</v>
      </c>
      <c r="G3913" t="s">
        <v>26</v>
      </c>
      <c r="H3913" t="s">
        <v>40</v>
      </c>
      <c r="I3913">
        <v>3.9415840000000001E-2</v>
      </c>
      <c r="K3913">
        <v>247.8092</v>
      </c>
      <c r="L3913">
        <v>3.9</v>
      </c>
    </row>
    <row r="3914" spans="1:12" x14ac:dyDescent="0.3">
      <c r="A3914" t="s">
        <v>10</v>
      </c>
      <c r="B3914" t="s">
        <v>1158</v>
      </c>
      <c r="C3914" t="s">
        <v>12</v>
      </c>
      <c r="D3914">
        <v>2018</v>
      </c>
      <c r="E3914" t="s">
        <v>138</v>
      </c>
      <c r="F3914" t="s">
        <v>14</v>
      </c>
      <c r="G3914" t="s">
        <v>26</v>
      </c>
      <c r="H3914" t="s">
        <v>40</v>
      </c>
      <c r="I3914">
        <v>7.2762086000000004E-2</v>
      </c>
      <c r="K3914">
        <v>120.9072</v>
      </c>
      <c r="L3914">
        <v>3.9</v>
      </c>
    </row>
    <row r="3915" spans="1:12" x14ac:dyDescent="0.3">
      <c r="A3915" t="s">
        <v>10</v>
      </c>
      <c r="B3915" t="s">
        <v>1053</v>
      </c>
      <c r="C3915" t="s">
        <v>12</v>
      </c>
      <c r="D3915">
        <v>2018</v>
      </c>
      <c r="E3915" t="s">
        <v>138</v>
      </c>
      <c r="F3915" t="s">
        <v>14</v>
      </c>
      <c r="G3915" t="s">
        <v>26</v>
      </c>
      <c r="H3915" t="s">
        <v>40</v>
      </c>
      <c r="I3915">
        <v>0.150238656</v>
      </c>
      <c r="K3915">
        <v>229.36940000000001</v>
      </c>
      <c r="L3915">
        <v>3.9</v>
      </c>
    </row>
    <row r="3916" spans="1:12"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
      <c r="A3937" t="s">
        <v>10</v>
      </c>
      <c r="B3937" t="s">
        <v>883</v>
      </c>
      <c r="C3937" t="s">
        <v>28</v>
      </c>
      <c r="D3937">
        <v>2016</v>
      </c>
      <c r="E3937" t="s">
        <v>25</v>
      </c>
      <c r="F3937" t="s">
        <v>14</v>
      </c>
      <c r="G3937" t="s">
        <v>26</v>
      </c>
      <c r="H3937" t="s">
        <v>16</v>
      </c>
      <c r="I3937">
        <v>0</v>
      </c>
      <c r="J3937">
        <v>9.5</v>
      </c>
      <c r="K3937">
        <v>79.596000000000004</v>
      </c>
      <c r="L3937">
        <v>3.9</v>
      </c>
    </row>
    <row r="3938" spans="1:12"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1533</v>
      </c>
      <c r="C3980" t="s">
        <v>24</v>
      </c>
      <c r="D3980">
        <v>2015</v>
      </c>
      <c r="E3980" t="s">
        <v>33</v>
      </c>
      <c r="F3980" t="s">
        <v>34</v>
      </c>
      <c r="G3980" t="s">
        <v>30</v>
      </c>
      <c r="H3980" t="s">
        <v>16</v>
      </c>
      <c r="I3980">
        <v>0.110254143</v>
      </c>
      <c r="J3980">
        <v>15.85</v>
      </c>
      <c r="K3980">
        <v>37.3506</v>
      </c>
      <c r="L3980">
        <v>3.9</v>
      </c>
    </row>
    <row r="3981" spans="1:12"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
      <c r="A3984" t="s">
        <v>10</v>
      </c>
      <c r="B3984" t="s">
        <v>1296</v>
      </c>
      <c r="C3984" t="s">
        <v>48</v>
      </c>
      <c r="D3984">
        <v>2015</v>
      </c>
      <c r="E3984" t="s">
        <v>33</v>
      </c>
      <c r="F3984" t="s">
        <v>34</v>
      </c>
      <c r="G3984" t="s">
        <v>30</v>
      </c>
      <c r="H3984" t="s">
        <v>16</v>
      </c>
      <c r="I3984">
        <v>1.5997687E-2</v>
      </c>
      <c r="J3984">
        <v>17</v>
      </c>
      <c r="K3984">
        <v>229.1352</v>
      </c>
      <c r="L3984">
        <v>3.9</v>
      </c>
    </row>
    <row r="3985" spans="1:12"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1368</v>
      </c>
      <c r="C3986" t="s">
        <v>95</v>
      </c>
      <c r="D3986">
        <v>2020</v>
      </c>
      <c r="E3986" t="s">
        <v>37</v>
      </c>
      <c r="F3986" t="s">
        <v>34</v>
      </c>
      <c r="G3986" t="s">
        <v>30</v>
      </c>
      <c r="H3986" t="s">
        <v>16</v>
      </c>
      <c r="I3986">
        <v>0</v>
      </c>
      <c r="J3986">
        <v>10.8</v>
      </c>
      <c r="K3986">
        <v>40.713799999999999</v>
      </c>
      <c r="L3986">
        <v>3.9</v>
      </c>
    </row>
    <row r="3987" spans="1:12"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
      <c r="A3988" t="s">
        <v>10</v>
      </c>
      <c r="B3988" t="s">
        <v>697</v>
      </c>
      <c r="C3988" t="s">
        <v>28</v>
      </c>
      <c r="D3988">
        <v>2020</v>
      </c>
      <c r="E3988" t="s">
        <v>37</v>
      </c>
      <c r="F3988" t="s">
        <v>34</v>
      </c>
      <c r="G3988" t="s">
        <v>30</v>
      </c>
      <c r="H3988" t="s">
        <v>16</v>
      </c>
      <c r="I3988">
        <v>6.8511103000000004E-2</v>
      </c>
      <c r="J3988">
        <v>16.5</v>
      </c>
      <c r="K3988">
        <v>103.699</v>
      </c>
      <c r="L3988">
        <v>3.9</v>
      </c>
    </row>
    <row r="3989" spans="1:12"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x14ac:dyDescent="0.3">
      <c r="A3990" t="s">
        <v>10</v>
      </c>
      <c r="B3990" t="s">
        <v>862</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1054</v>
      </c>
      <c r="C3993" t="s">
        <v>12</v>
      </c>
      <c r="D3993">
        <v>2020</v>
      </c>
      <c r="E3993" t="s">
        <v>37</v>
      </c>
      <c r="F3993" t="s">
        <v>34</v>
      </c>
      <c r="G3993" t="s">
        <v>15</v>
      </c>
      <c r="H3993" t="s">
        <v>16</v>
      </c>
      <c r="I3993">
        <v>0.104365283</v>
      </c>
      <c r="J3993">
        <v>15.2</v>
      </c>
      <c r="K3993">
        <v>177.1054</v>
      </c>
      <c r="L3993">
        <v>3.9</v>
      </c>
    </row>
    <row r="3994" spans="1:12"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
      <c r="A4031" t="s">
        <v>10</v>
      </c>
      <c r="B4031" t="s">
        <v>1514</v>
      </c>
      <c r="C4031" t="s">
        <v>12</v>
      </c>
      <c r="D4031">
        <v>2017</v>
      </c>
      <c r="E4031" t="s">
        <v>50</v>
      </c>
      <c r="F4031" t="s">
        <v>34</v>
      </c>
      <c r="G4031" t="s">
        <v>26</v>
      </c>
      <c r="H4031" t="s">
        <v>16</v>
      </c>
      <c r="I4031">
        <v>1.3035609E-2</v>
      </c>
      <c r="J4031">
        <v>13.65</v>
      </c>
      <c r="K4031">
        <v>114.7834</v>
      </c>
      <c r="L4031">
        <v>3.9</v>
      </c>
    </row>
    <row r="4032" spans="1:12"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869</v>
      </c>
      <c r="C4046" t="s">
        <v>54</v>
      </c>
      <c r="D4046">
        <v>2011</v>
      </c>
      <c r="E4046" t="s">
        <v>39</v>
      </c>
      <c r="F4046" t="s">
        <v>21</v>
      </c>
      <c r="G4046" t="s">
        <v>30</v>
      </c>
      <c r="H4046" t="s">
        <v>40</v>
      </c>
      <c r="I4046">
        <v>0</v>
      </c>
      <c r="J4046">
        <v>11.8</v>
      </c>
      <c r="K4046">
        <v>102.4674</v>
      </c>
      <c r="L4046">
        <v>3.9</v>
      </c>
    </row>
    <row r="4047" spans="1:12"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421</v>
      </c>
      <c r="C4067" t="s">
        <v>95</v>
      </c>
      <c r="D4067">
        <v>2014</v>
      </c>
      <c r="E4067" t="s">
        <v>29</v>
      </c>
      <c r="F4067" t="s">
        <v>21</v>
      </c>
      <c r="G4067" t="s">
        <v>30</v>
      </c>
      <c r="H4067" t="s">
        <v>16</v>
      </c>
      <c r="I4067">
        <v>0</v>
      </c>
      <c r="J4067">
        <v>6.78</v>
      </c>
      <c r="K4067">
        <v>94.012</v>
      </c>
      <c r="L4067">
        <v>3.9</v>
      </c>
    </row>
    <row r="4068" spans="1:12"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
      <c r="A4069" t="s">
        <v>10</v>
      </c>
      <c r="B4069" t="s">
        <v>1344</v>
      </c>
      <c r="C4069" t="s">
        <v>74</v>
      </c>
      <c r="D4069">
        <v>2014</v>
      </c>
      <c r="E4069" t="s">
        <v>29</v>
      </c>
      <c r="F4069" t="s">
        <v>21</v>
      </c>
      <c r="G4069" t="s">
        <v>30</v>
      </c>
      <c r="H4069" t="s">
        <v>16</v>
      </c>
      <c r="I4069">
        <v>6.0615254E-2</v>
      </c>
      <c r="J4069">
        <v>10.695</v>
      </c>
      <c r="K4069">
        <v>174.0712</v>
      </c>
      <c r="L4069">
        <v>3.9</v>
      </c>
    </row>
    <row r="4070" spans="1:12"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x14ac:dyDescent="0.3">
      <c r="A4071" t="s">
        <v>10</v>
      </c>
      <c r="B4071" t="s">
        <v>155</v>
      </c>
      <c r="C4071" t="s">
        <v>28</v>
      </c>
      <c r="D4071">
        <v>2014</v>
      </c>
      <c r="E4071" t="s">
        <v>29</v>
      </c>
      <c r="F4071" t="s">
        <v>21</v>
      </c>
      <c r="G4071" t="s">
        <v>30</v>
      </c>
      <c r="H4071" t="s">
        <v>16</v>
      </c>
      <c r="I4071">
        <v>0.10399675999999999</v>
      </c>
      <c r="J4071">
        <v>20</v>
      </c>
      <c r="K4071">
        <v>107.4622</v>
      </c>
      <c r="L4071">
        <v>3.9</v>
      </c>
    </row>
    <row r="4072" spans="1:12"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1520</v>
      </c>
      <c r="C4075" t="s">
        <v>12</v>
      </c>
      <c r="D4075">
        <v>2014</v>
      </c>
      <c r="E4075" t="s">
        <v>29</v>
      </c>
      <c r="F4075" t="s">
        <v>21</v>
      </c>
      <c r="G4075" t="s">
        <v>30</v>
      </c>
      <c r="H4075" t="s">
        <v>16</v>
      </c>
      <c r="I4075">
        <v>0</v>
      </c>
      <c r="J4075">
        <v>15.7</v>
      </c>
      <c r="K4075">
        <v>112.45440000000001</v>
      </c>
      <c r="L4075">
        <v>3.9</v>
      </c>
    </row>
    <row r="4076" spans="1:12"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
      <c r="A4097" t="s">
        <v>10</v>
      </c>
      <c r="B4097" t="s">
        <v>1482</v>
      </c>
      <c r="C4097" t="s">
        <v>67</v>
      </c>
      <c r="D4097">
        <v>2022</v>
      </c>
      <c r="E4097" t="s">
        <v>20</v>
      </c>
      <c r="F4097" t="s">
        <v>21</v>
      </c>
      <c r="G4097" t="s">
        <v>15</v>
      </c>
      <c r="H4097" t="s">
        <v>22</v>
      </c>
      <c r="I4097">
        <v>0</v>
      </c>
      <c r="J4097">
        <v>15.6</v>
      </c>
      <c r="K4097">
        <v>62.419400000000003</v>
      </c>
      <c r="L4097">
        <v>3.9</v>
      </c>
    </row>
    <row r="4098" spans="1:12"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1417</v>
      </c>
      <c r="C4100" t="s">
        <v>12</v>
      </c>
      <c r="D4100">
        <v>2022</v>
      </c>
      <c r="E4100" t="s">
        <v>20</v>
      </c>
      <c r="F4100" t="s">
        <v>21</v>
      </c>
      <c r="G4100" t="s">
        <v>15</v>
      </c>
      <c r="H4100" t="s">
        <v>22</v>
      </c>
      <c r="I4100">
        <v>0.101176316</v>
      </c>
      <c r="J4100">
        <v>15.5</v>
      </c>
      <c r="K4100">
        <v>198.9768</v>
      </c>
      <c r="L4100">
        <v>3.9</v>
      </c>
    </row>
    <row r="4101" spans="1:12"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x14ac:dyDescent="0.3">
      <c r="A4120" t="s">
        <v>10</v>
      </c>
      <c r="B4120" t="s">
        <v>612</v>
      </c>
      <c r="C4120" t="s">
        <v>95</v>
      </c>
      <c r="D4120">
        <v>2018</v>
      </c>
      <c r="E4120" t="s">
        <v>45</v>
      </c>
      <c r="F4120" t="s">
        <v>21</v>
      </c>
      <c r="G4120" t="s">
        <v>15</v>
      </c>
      <c r="H4120" t="s">
        <v>46</v>
      </c>
      <c r="I4120">
        <v>4.8292188999999999E-2</v>
      </c>
      <c r="K4120">
        <v>133.1626</v>
      </c>
      <c r="L4120">
        <v>3.9</v>
      </c>
    </row>
    <row r="4121" spans="1:12" x14ac:dyDescent="0.3">
      <c r="A4121" t="s">
        <v>10</v>
      </c>
      <c r="B4121" t="s">
        <v>1090</v>
      </c>
      <c r="C4121" t="s">
        <v>57</v>
      </c>
      <c r="D4121">
        <v>2018</v>
      </c>
      <c r="E4121" t="s">
        <v>45</v>
      </c>
      <c r="F4121" t="s">
        <v>21</v>
      </c>
      <c r="G4121" t="s">
        <v>15</v>
      </c>
      <c r="H4121" t="s">
        <v>46</v>
      </c>
      <c r="I4121">
        <v>5.4220617999999998E-2</v>
      </c>
      <c r="K4121">
        <v>129.131</v>
      </c>
      <c r="L4121">
        <v>3.9</v>
      </c>
    </row>
    <row r="4122" spans="1:12" x14ac:dyDescent="0.3">
      <c r="A4122" t="s">
        <v>10</v>
      </c>
      <c r="B4122" t="s">
        <v>1540</v>
      </c>
      <c r="C4122" t="s">
        <v>24</v>
      </c>
      <c r="D4122">
        <v>2018</v>
      </c>
      <c r="E4122" t="s">
        <v>45</v>
      </c>
      <c r="F4122" t="s">
        <v>21</v>
      </c>
      <c r="G4122" t="s">
        <v>15</v>
      </c>
      <c r="H4122" t="s">
        <v>46</v>
      </c>
      <c r="I4122">
        <v>3.7681358999999998E-2</v>
      </c>
      <c r="K4122">
        <v>125.1046</v>
      </c>
      <c r="L4122">
        <v>3.9</v>
      </c>
    </row>
    <row r="4123" spans="1:12" x14ac:dyDescent="0.3">
      <c r="A4123" t="s">
        <v>10</v>
      </c>
      <c r="B4123" t="s">
        <v>580</v>
      </c>
      <c r="C4123" t="s">
        <v>24</v>
      </c>
      <c r="D4123">
        <v>2018</v>
      </c>
      <c r="E4123" t="s">
        <v>45</v>
      </c>
      <c r="F4123" t="s">
        <v>21</v>
      </c>
      <c r="G4123" t="s">
        <v>15</v>
      </c>
      <c r="H4123" t="s">
        <v>46</v>
      </c>
      <c r="I4123">
        <v>1.9837654999999999E-2</v>
      </c>
      <c r="K4123">
        <v>128.131</v>
      </c>
      <c r="L4123">
        <v>3.9</v>
      </c>
    </row>
    <row r="4124" spans="1:12" x14ac:dyDescent="0.3">
      <c r="A4124" t="s">
        <v>10</v>
      </c>
      <c r="B4124" t="s">
        <v>1484</v>
      </c>
      <c r="C4124" t="s">
        <v>12</v>
      </c>
      <c r="D4124">
        <v>2018</v>
      </c>
      <c r="E4124" t="s">
        <v>45</v>
      </c>
      <c r="F4124" t="s">
        <v>21</v>
      </c>
      <c r="G4124" t="s">
        <v>15</v>
      </c>
      <c r="H4124" t="s">
        <v>46</v>
      </c>
      <c r="I4124">
        <v>2.2807826E-2</v>
      </c>
      <c r="K4124">
        <v>183.495</v>
      </c>
      <c r="L4124">
        <v>3.9</v>
      </c>
    </row>
    <row r="4125" spans="1:12" x14ac:dyDescent="0.3">
      <c r="A4125" t="s">
        <v>10</v>
      </c>
      <c r="B4125" t="s">
        <v>443</v>
      </c>
      <c r="C4125" t="s">
        <v>12</v>
      </c>
      <c r="D4125">
        <v>2018</v>
      </c>
      <c r="E4125" t="s">
        <v>45</v>
      </c>
      <c r="F4125" t="s">
        <v>21</v>
      </c>
      <c r="G4125" t="s">
        <v>15</v>
      </c>
      <c r="H4125" t="s">
        <v>46</v>
      </c>
      <c r="I4125">
        <v>6.2109174000000003E-2</v>
      </c>
      <c r="K4125">
        <v>223.7062</v>
      </c>
      <c r="L4125">
        <v>3.9</v>
      </c>
    </row>
    <row r="4126" spans="1:12" x14ac:dyDescent="0.3">
      <c r="A4126" t="s">
        <v>10</v>
      </c>
      <c r="B4126" t="s">
        <v>809</v>
      </c>
      <c r="C4126" t="s">
        <v>54</v>
      </c>
      <c r="D4126">
        <v>2018</v>
      </c>
      <c r="E4126" t="s">
        <v>45</v>
      </c>
      <c r="F4126" t="s">
        <v>21</v>
      </c>
      <c r="G4126" t="s">
        <v>15</v>
      </c>
      <c r="H4126" t="s">
        <v>46</v>
      </c>
      <c r="I4126">
        <v>9.4201477000000006E-2</v>
      </c>
      <c r="K4126">
        <v>213.35599999999999</v>
      </c>
      <c r="L4126">
        <v>3.9</v>
      </c>
    </row>
    <row r="4127" spans="1:12" x14ac:dyDescent="0.3">
      <c r="A4127" t="s">
        <v>10</v>
      </c>
      <c r="B4127" t="s">
        <v>193</v>
      </c>
      <c r="C4127" t="s">
        <v>153</v>
      </c>
      <c r="D4127">
        <v>2018</v>
      </c>
      <c r="E4127" t="s">
        <v>45</v>
      </c>
      <c r="F4127" t="s">
        <v>21</v>
      </c>
      <c r="G4127" t="s">
        <v>15</v>
      </c>
      <c r="H4127" t="s">
        <v>46</v>
      </c>
      <c r="I4127">
        <v>0.14559143799999999</v>
      </c>
      <c r="K4127">
        <v>148.70500000000001</v>
      </c>
      <c r="L4127">
        <v>3.9</v>
      </c>
    </row>
    <row r="4128" spans="1:12" x14ac:dyDescent="0.3">
      <c r="A4128" t="s">
        <v>10</v>
      </c>
      <c r="B4128" t="s">
        <v>451</v>
      </c>
      <c r="C4128" t="s">
        <v>48</v>
      </c>
      <c r="D4128">
        <v>2018</v>
      </c>
      <c r="E4128" t="s">
        <v>45</v>
      </c>
      <c r="F4128" t="s">
        <v>21</v>
      </c>
      <c r="G4128" t="s">
        <v>15</v>
      </c>
      <c r="H4128" t="s">
        <v>46</v>
      </c>
      <c r="I4128">
        <v>9.3202196000000001E-2</v>
      </c>
      <c r="K4128">
        <v>125.57040000000001</v>
      </c>
      <c r="L4128">
        <v>3.9</v>
      </c>
    </row>
    <row r="4129" spans="1:12"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1492</v>
      </c>
      <c r="C4173" t="s">
        <v>95</v>
      </c>
      <c r="D4173">
        <v>2012</v>
      </c>
      <c r="E4173" t="s">
        <v>13</v>
      </c>
      <c r="F4173" t="s">
        <v>14</v>
      </c>
      <c r="G4173" t="s">
        <v>15</v>
      </c>
      <c r="H4173" t="s">
        <v>16</v>
      </c>
      <c r="I4173">
        <v>0.105471384</v>
      </c>
      <c r="J4173">
        <v>11.15</v>
      </c>
      <c r="K4173">
        <v>105.8648</v>
      </c>
      <c r="L4173">
        <v>3.8</v>
      </c>
    </row>
    <row r="4174" spans="1:12"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x14ac:dyDescent="0.3">
      <c r="A4189" t="s">
        <v>10</v>
      </c>
      <c r="B4189" t="s">
        <v>420</v>
      </c>
      <c r="C4189" t="s">
        <v>95</v>
      </c>
      <c r="D4189">
        <v>2018</v>
      </c>
      <c r="E4189" t="s">
        <v>138</v>
      </c>
      <c r="F4189" t="s">
        <v>14</v>
      </c>
      <c r="G4189" t="s">
        <v>26</v>
      </c>
      <c r="H4189" t="s">
        <v>40</v>
      </c>
      <c r="I4189">
        <v>0</v>
      </c>
      <c r="K4189">
        <v>121.3098</v>
      </c>
      <c r="L4189">
        <v>3.8</v>
      </c>
    </row>
    <row r="4190" spans="1:12" x14ac:dyDescent="0.3">
      <c r="A4190" t="s">
        <v>10</v>
      </c>
      <c r="B4190" t="s">
        <v>266</v>
      </c>
      <c r="C4190" t="s">
        <v>95</v>
      </c>
      <c r="D4190">
        <v>2018</v>
      </c>
      <c r="E4190" t="s">
        <v>138</v>
      </c>
      <c r="F4190" t="s">
        <v>14</v>
      </c>
      <c r="G4190" t="s">
        <v>26</v>
      </c>
      <c r="H4190" t="s">
        <v>40</v>
      </c>
      <c r="I4190">
        <v>0.20548439499999999</v>
      </c>
      <c r="K4190">
        <v>198.011</v>
      </c>
      <c r="L4190">
        <v>3.8</v>
      </c>
    </row>
    <row r="4191" spans="1:12"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
      <c r="A4255" t="s">
        <v>10</v>
      </c>
      <c r="B4255" t="s">
        <v>1544</v>
      </c>
      <c r="C4255" t="s">
        <v>95</v>
      </c>
      <c r="D4255">
        <v>2015</v>
      </c>
      <c r="E4255" t="s">
        <v>33</v>
      </c>
      <c r="F4255" t="s">
        <v>34</v>
      </c>
      <c r="G4255" t="s">
        <v>30</v>
      </c>
      <c r="H4255" t="s">
        <v>16</v>
      </c>
      <c r="I4255">
        <v>0</v>
      </c>
      <c r="J4255">
        <v>19.7</v>
      </c>
      <c r="K4255">
        <v>197.911</v>
      </c>
      <c r="L4255">
        <v>3.8</v>
      </c>
    </row>
    <row r="4256" spans="1:12" x14ac:dyDescent="0.3">
      <c r="A4256" t="s">
        <v>10</v>
      </c>
      <c r="B4256" t="s">
        <v>936</v>
      </c>
      <c r="C4256" t="s">
        <v>57</v>
      </c>
      <c r="D4256">
        <v>2015</v>
      </c>
      <c r="E4256" t="s">
        <v>33</v>
      </c>
      <c r="F4256" t="s">
        <v>34</v>
      </c>
      <c r="G4256" t="s">
        <v>30</v>
      </c>
      <c r="H4256" t="s">
        <v>16</v>
      </c>
      <c r="I4256">
        <v>4.3982463999999999E-2</v>
      </c>
      <c r="J4256">
        <v>14.8</v>
      </c>
      <c r="K4256">
        <v>110.657</v>
      </c>
      <c r="L4256">
        <v>3.8</v>
      </c>
    </row>
    <row r="4257" spans="1:12" x14ac:dyDescent="0.3">
      <c r="A4257" t="s">
        <v>10</v>
      </c>
      <c r="B4257" t="s">
        <v>422</v>
      </c>
      <c r="C4257" t="s">
        <v>74</v>
      </c>
      <c r="D4257">
        <v>2015</v>
      </c>
      <c r="E4257" t="s">
        <v>33</v>
      </c>
      <c r="F4257" t="s">
        <v>34</v>
      </c>
      <c r="G4257" t="s">
        <v>30</v>
      </c>
      <c r="H4257" t="s">
        <v>16</v>
      </c>
      <c r="I4257">
        <v>0.15714988499999999</v>
      </c>
      <c r="J4257">
        <v>11.6</v>
      </c>
      <c r="K4257">
        <v>168.2474</v>
      </c>
      <c r="L4257">
        <v>3.8</v>
      </c>
    </row>
    <row r="4258" spans="1:12"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1470</v>
      </c>
      <c r="C4260" t="s">
        <v>54</v>
      </c>
      <c r="D4260">
        <v>2015</v>
      </c>
      <c r="E4260" t="s">
        <v>33</v>
      </c>
      <c r="F4260" t="s">
        <v>34</v>
      </c>
      <c r="G4260" t="s">
        <v>30</v>
      </c>
      <c r="H4260" t="s">
        <v>16</v>
      </c>
      <c r="I4260">
        <v>1.8061324E-2</v>
      </c>
      <c r="J4260">
        <v>19.7</v>
      </c>
      <c r="K4260">
        <v>102.599</v>
      </c>
      <c r="L4260">
        <v>3.8</v>
      </c>
    </row>
    <row r="4261" spans="1:12"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x14ac:dyDescent="0.3">
      <c r="A4268" t="s">
        <v>10</v>
      </c>
      <c r="B4268" t="s">
        <v>774</v>
      </c>
      <c r="C4268" t="s">
        <v>12</v>
      </c>
      <c r="D4268">
        <v>2020</v>
      </c>
      <c r="E4268" t="s">
        <v>37</v>
      </c>
      <c r="F4268" t="s">
        <v>34</v>
      </c>
      <c r="G4268" t="s">
        <v>30</v>
      </c>
      <c r="H4268" t="s">
        <v>16</v>
      </c>
      <c r="I4268">
        <v>0.103503049</v>
      </c>
      <c r="J4268">
        <v>6.11</v>
      </c>
      <c r="K4268">
        <v>129.6968</v>
      </c>
      <c r="L4268">
        <v>3.8</v>
      </c>
    </row>
    <row r="4269" spans="1:12" x14ac:dyDescent="0.3">
      <c r="A4269" t="s">
        <v>10</v>
      </c>
      <c r="B4269" t="s">
        <v>315</v>
      </c>
      <c r="C4269" t="s">
        <v>12</v>
      </c>
      <c r="D4269">
        <v>2020</v>
      </c>
      <c r="E4269" t="s">
        <v>37</v>
      </c>
      <c r="F4269" t="s">
        <v>34</v>
      </c>
      <c r="G4269" t="s">
        <v>15</v>
      </c>
      <c r="H4269" t="s">
        <v>16</v>
      </c>
      <c r="I4269">
        <v>0</v>
      </c>
      <c r="J4269">
        <v>20.2</v>
      </c>
      <c r="K4269">
        <v>129.06780000000001</v>
      </c>
      <c r="L4269">
        <v>3.8</v>
      </c>
    </row>
    <row r="4270" spans="1:12"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
      <c r="A4285" t="s">
        <v>10</v>
      </c>
      <c r="B4285" t="s">
        <v>251</v>
      </c>
      <c r="C4285" t="s">
        <v>28</v>
      </c>
      <c r="D4285">
        <v>2017</v>
      </c>
      <c r="E4285" t="s">
        <v>50</v>
      </c>
      <c r="F4285" t="s">
        <v>34</v>
      </c>
      <c r="G4285" t="s">
        <v>26</v>
      </c>
      <c r="H4285" t="s">
        <v>16</v>
      </c>
      <c r="I4285">
        <v>3.1261583000000003E-2</v>
      </c>
      <c r="J4285">
        <v>14</v>
      </c>
      <c r="K4285">
        <v>52.564</v>
      </c>
      <c r="L4285">
        <v>3.8</v>
      </c>
    </row>
    <row r="4286" spans="1:12"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783</v>
      </c>
      <c r="C4301" t="s">
        <v>12</v>
      </c>
      <c r="D4301">
        <v>2011</v>
      </c>
      <c r="E4301" t="s">
        <v>39</v>
      </c>
      <c r="F4301" t="s">
        <v>21</v>
      </c>
      <c r="G4301" t="s">
        <v>30</v>
      </c>
      <c r="H4301" t="s">
        <v>40</v>
      </c>
      <c r="I4301">
        <v>0.10985775</v>
      </c>
      <c r="J4301">
        <v>19</v>
      </c>
      <c r="K4301">
        <v>188.82140000000001</v>
      </c>
      <c r="L4301">
        <v>3.8</v>
      </c>
    </row>
    <row r="4302" spans="1:12"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
      <c r="A4318" t="s">
        <v>10</v>
      </c>
      <c r="B4318" t="s">
        <v>266</v>
      </c>
      <c r="C4318" t="s">
        <v>95</v>
      </c>
      <c r="D4318">
        <v>2014</v>
      </c>
      <c r="E4318" t="s">
        <v>29</v>
      </c>
      <c r="F4318" t="s">
        <v>21</v>
      </c>
      <c r="G4318" t="s">
        <v>30</v>
      </c>
      <c r="H4318" t="s">
        <v>16</v>
      </c>
      <c r="I4318">
        <v>0</v>
      </c>
      <c r="J4318">
        <v>20.2</v>
      </c>
      <c r="K4318">
        <v>197.21100000000001</v>
      </c>
      <c r="L4318">
        <v>3.8</v>
      </c>
    </row>
    <row r="4319" spans="1:12" x14ac:dyDescent="0.3">
      <c r="A4319" t="s">
        <v>10</v>
      </c>
      <c r="B4319" t="s">
        <v>1345</v>
      </c>
      <c r="C4319" t="s">
        <v>28</v>
      </c>
      <c r="D4319">
        <v>2014</v>
      </c>
      <c r="E4319" t="s">
        <v>29</v>
      </c>
      <c r="F4319" t="s">
        <v>21</v>
      </c>
      <c r="G4319" t="s">
        <v>30</v>
      </c>
      <c r="H4319" t="s">
        <v>16</v>
      </c>
      <c r="I4319">
        <v>4.0172077E-2</v>
      </c>
      <c r="J4319">
        <v>8.6</v>
      </c>
      <c r="K4319">
        <v>188.553</v>
      </c>
      <c r="L4319">
        <v>3.8</v>
      </c>
    </row>
    <row r="4320" spans="1:12"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x14ac:dyDescent="0.3">
      <c r="A4373" t="s">
        <v>10</v>
      </c>
      <c r="B4373" t="s">
        <v>336</v>
      </c>
      <c r="C4373" t="s">
        <v>95</v>
      </c>
      <c r="D4373">
        <v>2018</v>
      </c>
      <c r="E4373" t="s">
        <v>45</v>
      </c>
      <c r="F4373" t="s">
        <v>21</v>
      </c>
      <c r="G4373" t="s">
        <v>15</v>
      </c>
      <c r="H4373" t="s">
        <v>46</v>
      </c>
      <c r="I4373">
        <v>0.12763896599999999</v>
      </c>
      <c r="K4373">
        <v>104.53319999999999</v>
      </c>
      <c r="L4373">
        <v>3.8</v>
      </c>
    </row>
    <row r="4374" spans="1:12" x14ac:dyDescent="0.3">
      <c r="A4374" t="s">
        <v>10</v>
      </c>
      <c r="B4374" t="s">
        <v>1218</v>
      </c>
      <c r="C4374" t="s">
        <v>28</v>
      </c>
      <c r="D4374">
        <v>2018</v>
      </c>
      <c r="E4374" t="s">
        <v>45</v>
      </c>
      <c r="F4374" t="s">
        <v>21</v>
      </c>
      <c r="G4374" t="s">
        <v>15</v>
      </c>
      <c r="H4374" t="s">
        <v>46</v>
      </c>
      <c r="I4374">
        <v>2.7214272000000001E-2</v>
      </c>
      <c r="K4374">
        <v>159.69200000000001</v>
      </c>
      <c r="L4374">
        <v>3.8</v>
      </c>
    </row>
    <row r="4375" spans="1:12" x14ac:dyDescent="0.3">
      <c r="A4375" t="s">
        <v>10</v>
      </c>
      <c r="B4375" t="s">
        <v>312</v>
      </c>
      <c r="C4375" t="s">
        <v>28</v>
      </c>
      <c r="D4375">
        <v>2018</v>
      </c>
      <c r="E4375" t="s">
        <v>45</v>
      </c>
      <c r="F4375" t="s">
        <v>21</v>
      </c>
      <c r="G4375" t="s">
        <v>15</v>
      </c>
      <c r="H4375" t="s">
        <v>46</v>
      </c>
      <c r="I4375">
        <v>7.1806045999999998E-2</v>
      </c>
      <c r="K4375">
        <v>186.5924</v>
      </c>
      <c r="L4375">
        <v>3.8</v>
      </c>
    </row>
    <row r="4376" spans="1:12" x14ac:dyDescent="0.3">
      <c r="A4376" t="s">
        <v>10</v>
      </c>
      <c r="B4376" t="s">
        <v>1480</v>
      </c>
      <c r="C4376" t="s">
        <v>28</v>
      </c>
      <c r="D4376">
        <v>2018</v>
      </c>
      <c r="E4376" t="s">
        <v>45</v>
      </c>
      <c r="F4376" t="s">
        <v>21</v>
      </c>
      <c r="G4376" t="s">
        <v>15</v>
      </c>
      <c r="H4376" t="s">
        <v>46</v>
      </c>
      <c r="I4376">
        <v>5.3361619999999998E-2</v>
      </c>
      <c r="K4376">
        <v>200.17420000000001</v>
      </c>
      <c r="L4376">
        <v>3.8</v>
      </c>
    </row>
    <row r="4377" spans="1:12" x14ac:dyDescent="0.3">
      <c r="A4377" t="s">
        <v>10</v>
      </c>
      <c r="B4377" t="s">
        <v>1468</v>
      </c>
      <c r="C4377" t="s">
        <v>28</v>
      </c>
      <c r="D4377">
        <v>2018</v>
      </c>
      <c r="E4377" t="s">
        <v>45</v>
      </c>
      <c r="F4377" t="s">
        <v>21</v>
      </c>
      <c r="G4377" t="s">
        <v>15</v>
      </c>
      <c r="H4377" t="s">
        <v>46</v>
      </c>
      <c r="I4377">
        <v>0.13884628900000001</v>
      </c>
      <c r="K4377">
        <v>263.78840000000002</v>
      </c>
      <c r="L4377">
        <v>3.8</v>
      </c>
    </row>
    <row r="4378" spans="1:12" x14ac:dyDescent="0.3">
      <c r="A4378" t="s">
        <v>10</v>
      </c>
      <c r="B4378" t="s">
        <v>582</v>
      </c>
      <c r="C4378" t="s">
        <v>54</v>
      </c>
      <c r="D4378">
        <v>2018</v>
      </c>
      <c r="E4378" t="s">
        <v>45</v>
      </c>
      <c r="F4378" t="s">
        <v>21</v>
      </c>
      <c r="G4378" t="s">
        <v>15</v>
      </c>
      <c r="H4378" t="s">
        <v>46</v>
      </c>
      <c r="I4378">
        <v>1.5016890999999999E-2</v>
      </c>
      <c r="K4378">
        <v>248.64080000000001</v>
      </c>
      <c r="L4378">
        <v>3.8</v>
      </c>
    </row>
    <row r="4379" spans="1:12" x14ac:dyDescent="0.3">
      <c r="A4379" t="s">
        <v>10</v>
      </c>
      <c r="B4379" t="s">
        <v>1161</v>
      </c>
      <c r="C4379" t="s">
        <v>54</v>
      </c>
      <c r="D4379">
        <v>2018</v>
      </c>
      <c r="E4379" t="s">
        <v>45</v>
      </c>
      <c r="F4379" t="s">
        <v>21</v>
      </c>
      <c r="G4379" t="s">
        <v>15</v>
      </c>
      <c r="H4379" t="s">
        <v>46</v>
      </c>
      <c r="I4379">
        <v>9.5635060999999993E-2</v>
      </c>
      <c r="K4379">
        <v>130.79419999999999</v>
      </c>
      <c r="L4379">
        <v>3.8</v>
      </c>
    </row>
    <row r="4380" spans="1:12" x14ac:dyDescent="0.3">
      <c r="A4380" t="s">
        <v>10</v>
      </c>
      <c r="B4380" t="s">
        <v>584</v>
      </c>
      <c r="C4380" t="s">
        <v>54</v>
      </c>
      <c r="D4380">
        <v>2018</v>
      </c>
      <c r="E4380" t="s">
        <v>45</v>
      </c>
      <c r="F4380" t="s">
        <v>21</v>
      </c>
      <c r="G4380" t="s">
        <v>15</v>
      </c>
      <c r="H4380" t="s">
        <v>46</v>
      </c>
      <c r="I4380">
        <v>9.6046303999999999E-2</v>
      </c>
      <c r="K4380">
        <v>178.7028</v>
      </c>
      <c r="L4380">
        <v>3.8</v>
      </c>
    </row>
    <row r="4381" spans="1:12" x14ac:dyDescent="0.3">
      <c r="A4381" t="s">
        <v>10</v>
      </c>
      <c r="B4381" t="s">
        <v>1521</v>
      </c>
      <c r="C4381" t="s">
        <v>54</v>
      </c>
      <c r="D4381">
        <v>2018</v>
      </c>
      <c r="E4381" t="s">
        <v>45</v>
      </c>
      <c r="F4381" t="s">
        <v>21</v>
      </c>
      <c r="G4381" t="s">
        <v>15</v>
      </c>
      <c r="H4381" t="s">
        <v>46</v>
      </c>
      <c r="I4381">
        <v>4.9435597999999997E-2</v>
      </c>
      <c r="K4381">
        <v>209.7586</v>
      </c>
      <c r="L4381">
        <v>3.8</v>
      </c>
    </row>
    <row r="4382" spans="1:12"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
      <c r="A4386" t="s">
        <v>10</v>
      </c>
      <c r="B4386" t="s">
        <v>195</v>
      </c>
      <c r="C4386" t="s">
        <v>48</v>
      </c>
      <c r="D4386">
        <v>2018</v>
      </c>
      <c r="E4386" t="s">
        <v>45</v>
      </c>
      <c r="F4386" t="s">
        <v>21</v>
      </c>
      <c r="G4386" t="s">
        <v>15</v>
      </c>
      <c r="H4386" t="s">
        <v>46</v>
      </c>
      <c r="I4386">
        <v>0.123111453</v>
      </c>
      <c r="K4386">
        <v>36.987400000000001</v>
      </c>
      <c r="L4386">
        <v>3.7</v>
      </c>
    </row>
    <row r="4387" spans="1:12"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x14ac:dyDescent="0.3">
      <c r="A4395" t="s">
        <v>10</v>
      </c>
      <c r="B4395" t="s">
        <v>1511</v>
      </c>
      <c r="C4395" t="s">
        <v>28</v>
      </c>
      <c r="D4395">
        <v>2018</v>
      </c>
      <c r="E4395" t="s">
        <v>45</v>
      </c>
      <c r="F4395" t="s">
        <v>21</v>
      </c>
      <c r="G4395" t="s">
        <v>15</v>
      </c>
      <c r="H4395" t="s">
        <v>46</v>
      </c>
      <c r="I4395">
        <v>0.101338651</v>
      </c>
      <c r="K4395">
        <v>232.63</v>
      </c>
      <c r="L4395">
        <v>3.7</v>
      </c>
    </row>
    <row r="4396" spans="1:12"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1338</v>
      </c>
      <c r="C4403" t="s">
        <v>48</v>
      </c>
      <c r="D4403">
        <v>2018</v>
      </c>
      <c r="E4403" t="s">
        <v>45</v>
      </c>
      <c r="F4403" t="s">
        <v>21</v>
      </c>
      <c r="G4403" t="s">
        <v>15</v>
      </c>
      <c r="H4403" t="s">
        <v>46</v>
      </c>
      <c r="I4403">
        <v>0.116915909</v>
      </c>
      <c r="K4403">
        <v>159.45779999999999</v>
      </c>
      <c r="L4403">
        <v>3.7</v>
      </c>
    </row>
    <row r="4404" spans="1:12"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
      <c r="A4431" t="s">
        <v>10</v>
      </c>
      <c r="B4431" t="s">
        <v>1053</v>
      </c>
      <c r="C4431" t="s">
        <v>12</v>
      </c>
      <c r="D4431">
        <v>2012</v>
      </c>
      <c r="E4431" t="s">
        <v>13</v>
      </c>
      <c r="F4431" t="s">
        <v>14</v>
      </c>
      <c r="G4431" t="s">
        <v>15</v>
      </c>
      <c r="H4431" t="s">
        <v>16</v>
      </c>
      <c r="I4431">
        <v>0</v>
      </c>
      <c r="J4431">
        <v>6.78</v>
      </c>
      <c r="K4431">
        <v>227.5694</v>
      </c>
      <c r="L4431">
        <v>3.7</v>
      </c>
    </row>
    <row r="4432" spans="1:12"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x14ac:dyDescent="0.3">
      <c r="A4444" t="s">
        <v>10</v>
      </c>
      <c r="B4444" t="s">
        <v>1480</v>
      </c>
      <c r="C4444" t="s">
        <v>28</v>
      </c>
      <c r="D4444">
        <v>2018</v>
      </c>
      <c r="E4444" t="s">
        <v>138</v>
      </c>
      <c r="F4444" t="s">
        <v>14</v>
      </c>
      <c r="G4444" t="s">
        <v>26</v>
      </c>
      <c r="H4444" t="s">
        <v>40</v>
      </c>
      <c r="I4444">
        <v>9.3883944999999996E-2</v>
      </c>
      <c r="K4444">
        <v>200.4742</v>
      </c>
      <c r="L4444">
        <v>3.7</v>
      </c>
    </row>
    <row r="4445" spans="1:12" x14ac:dyDescent="0.3">
      <c r="A4445" t="s">
        <v>10</v>
      </c>
      <c r="B4445" t="s">
        <v>775</v>
      </c>
      <c r="C4445" t="s">
        <v>28</v>
      </c>
      <c r="D4445">
        <v>2018</v>
      </c>
      <c r="E4445" t="s">
        <v>138</v>
      </c>
      <c r="F4445" t="s">
        <v>14</v>
      </c>
      <c r="G4445" t="s">
        <v>26</v>
      </c>
      <c r="H4445" t="s">
        <v>40</v>
      </c>
      <c r="I4445">
        <v>2.1002171E-2</v>
      </c>
      <c r="K4445">
        <v>185.19239999999999</v>
      </c>
      <c r="L4445">
        <v>3.7</v>
      </c>
    </row>
    <row r="4446" spans="1:12"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131</v>
      </c>
      <c r="C4484" t="s">
        <v>48</v>
      </c>
      <c r="D4484">
        <v>2015</v>
      </c>
      <c r="E4484" t="s">
        <v>33</v>
      </c>
      <c r="F4484" t="s">
        <v>34</v>
      </c>
      <c r="G4484" t="s">
        <v>30</v>
      </c>
      <c r="H4484" t="s">
        <v>16</v>
      </c>
      <c r="I4484">
        <v>2.7399064000000001E-2</v>
      </c>
      <c r="J4484">
        <v>9.6</v>
      </c>
      <c r="K4484">
        <v>258.3304</v>
      </c>
      <c r="L4484">
        <v>3.7</v>
      </c>
    </row>
    <row r="4485" spans="1:12"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277</v>
      </c>
      <c r="C4486" t="s">
        <v>159</v>
      </c>
      <c r="D4486">
        <v>2015</v>
      </c>
      <c r="E4486" t="s">
        <v>33</v>
      </c>
      <c r="F4486" t="s">
        <v>34</v>
      </c>
      <c r="G4486" t="s">
        <v>30</v>
      </c>
      <c r="H4486" t="s">
        <v>16</v>
      </c>
      <c r="I4486">
        <v>0</v>
      </c>
      <c r="J4486">
        <v>19.2</v>
      </c>
      <c r="K4486">
        <v>223.80619999999999</v>
      </c>
      <c r="L4486">
        <v>3.7</v>
      </c>
    </row>
    <row r="4487" spans="1:12"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
      <c r="A4489" t="s">
        <v>10</v>
      </c>
      <c r="B4489" t="s">
        <v>189</v>
      </c>
      <c r="C4489" t="s">
        <v>24</v>
      </c>
      <c r="D4489">
        <v>2020</v>
      </c>
      <c r="E4489" t="s">
        <v>37</v>
      </c>
      <c r="F4489" t="s">
        <v>34</v>
      </c>
      <c r="G4489" t="s">
        <v>30</v>
      </c>
      <c r="H4489" t="s">
        <v>16</v>
      </c>
      <c r="I4489">
        <v>0.12631341300000001</v>
      </c>
      <c r="J4489">
        <v>11.5</v>
      </c>
      <c r="K4489">
        <v>100.6358</v>
      </c>
      <c r="L4489">
        <v>3.7</v>
      </c>
    </row>
    <row r="4490" spans="1:12"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
      <c r="A4574" t="s">
        <v>10</v>
      </c>
      <c r="B4574" t="s">
        <v>254</v>
      </c>
      <c r="C4574" t="s">
        <v>24</v>
      </c>
      <c r="D4574">
        <v>2022</v>
      </c>
      <c r="E4574" t="s">
        <v>20</v>
      </c>
      <c r="F4574" t="s">
        <v>21</v>
      </c>
      <c r="G4574" t="s">
        <v>15</v>
      </c>
      <c r="H4574" t="s">
        <v>22</v>
      </c>
      <c r="I4574">
        <v>5.1702257000000001E-2</v>
      </c>
      <c r="J4574">
        <v>20</v>
      </c>
      <c r="K4574">
        <v>125.8678</v>
      </c>
      <c r="L4574">
        <v>3.7</v>
      </c>
    </row>
    <row r="4575" spans="1:12"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x14ac:dyDescent="0.3">
      <c r="A4588" t="s">
        <v>10</v>
      </c>
      <c r="B4588" t="s">
        <v>135</v>
      </c>
      <c r="C4588" t="s">
        <v>95</v>
      </c>
      <c r="D4588">
        <v>2018</v>
      </c>
      <c r="E4588" t="s">
        <v>45</v>
      </c>
      <c r="F4588" t="s">
        <v>21</v>
      </c>
      <c r="G4588" t="s">
        <v>15</v>
      </c>
      <c r="H4588" t="s">
        <v>46</v>
      </c>
      <c r="I4588">
        <v>0</v>
      </c>
      <c r="K4588">
        <v>75.9328</v>
      </c>
      <c r="L4588">
        <v>3.7</v>
      </c>
    </row>
    <row r="4589" spans="1:12" x14ac:dyDescent="0.3">
      <c r="A4589" t="s">
        <v>10</v>
      </c>
      <c r="B4589" t="s">
        <v>1379</v>
      </c>
      <c r="C4589" t="s">
        <v>57</v>
      </c>
      <c r="D4589">
        <v>2018</v>
      </c>
      <c r="E4589" t="s">
        <v>45</v>
      </c>
      <c r="F4589" t="s">
        <v>21</v>
      </c>
      <c r="G4589" t="s">
        <v>15</v>
      </c>
      <c r="H4589" t="s">
        <v>46</v>
      </c>
      <c r="I4589">
        <v>2.4390149999999999E-2</v>
      </c>
      <c r="K4589">
        <v>95.906800000000004</v>
      </c>
      <c r="L4589">
        <v>3.7</v>
      </c>
    </row>
    <row r="4590" spans="1:12" x14ac:dyDescent="0.3">
      <c r="A4590" t="s">
        <v>10</v>
      </c>
      <c r="B4590" t="s">
        <v>558</v>
      </c>
      <c r="C4590" t="s">
        <v>67</v>
      </c>
      <c r="D4590">
        <v>2018</v>
      </c>
      <c r="E4590" t="s">
        <v>45</v>
      </c>
      <c r="F4590" t="s">
        <v>21</v>
      </c>
      <c r="G4590" t="s">
        <v>15</v>
      </c>
      <c r="H4590" t="s">
        <v>46</v>
      </c>
      <c r="I4590">
        <v>1.4721718999999999E-2</v>
      </c>
      <c r="K4590">
        <v>193.61619999999999</v>
      </c>
      <c r="L4590">
        <v>3.7</v>
      </c>
    </row>
    <row r="4591" spans="1:12" x14ac:dyDescent="0.3">
      <c r="A4591" t="s">
        <v>10</v>
      </c>
      <c r="B4591" t="s">
        <v>863</v>
      </c>
      <c r="C4591" t="s">
        <v>12</v>
      </c>
      <c r="D4591">
        <v>2018</v>
      </c>
      <c r="E4591" t="s">
        <v>45</v>
      </c>
      <c r="F4591" t="s">
        <v>21</v>
      </c>
      <c r="G4591" t="s">
        <v>15</v>
      </c>
      <c r="H4591" t="s">
        <v>46</v>
      </c>
      <c r="I4591">
        <v>7.1106549000000005E-2</v>
      </c>
      <c r="K4591">
        <v>60.553600000000003</v>
      </c>
      <c r="L4591">
        <v>3.7</v>
      </c>
    </row>
    <row r="4592" spans="1:12" x14ac:dyDescent="0.3">
      <c r="A4592" t="s">
        <v>10</v>
      </c>
      <c r="B4592" t="s">
        <v>462</v>
      </c>
      <c r="C4592" t="s">
        <v>48</v>
      </c>
      <c r="D4592">
        <v>2018</v>
      </c>
      <c r="E4592" t="s">
        <v>45</v>
      </c>
      <c r="F4592" t="s">
        <v>21</v>
      </c>
      <c r="G4592" t="s">
        <v>15</v>
      </c>
      <c r="H4592" t="s">
        <v>46</v>
      </c>
      <c r="I4592">
        <v>1.0864186E-2</v>
      </c>
      <c r="K4592">
        <v>185.36080000000001</v>
      </c>
      <c r="L4592">
        <v>3.7</v>
      </c>
    </row>
    <row r="4593" spans="1:12" x14ac:dyDescent="0.3">
      <c r="A4593" t="s">
        <v>10</v>
      </c>
      <c r="B4593" t="s">
        <v>481</v>
      </c>
      <c r="C4593" t="s">
        <v>32</v>
      </c>
      <c r="D4593">
        <v>2018</v>
      </c>
      <c r="E4593" t="s">
        <v>45</v>
      </c>
      <c r="F4593" t="s">
        <v>21</v>
      </c>
      <c r="G4593" t="s">
        <v>15</v>
      </c>
      <c r="H4593" t="s">
        <v>46</v>
      </c>
      <c r="I4593">
        <v>1.9107026999999999E-2</v>
      </c>
      <c r="K4593">
        <v>48.469200000000001</v>
      </c>
      <c r="L4593">
        <v>3.7</v>
      </c>
    </row>
    <row r="4594" spans="1:12" x14ac:dyDescent="0.3">
      <c r="A4594" t="s">
        <v>10</v>
      </c>
      <c r="B4594" t="s">
        <v>1563</v>
      </c>
      <c r="C4594" t="s">
        <v>159</v>
      </c>
      <c r="D4594">
        <v>2018</v>
      </c>
      <c r="E4594" t="s">
        <v>45</v>
      </c>
      <c r="F4594" t="s">
        <v>21</v>
      </c>
      <c r="G4594" t="s">
        <v>15</v>
      </c>
      <c r="H4594" t="s">
        <v>46</v>
      </c>
      <c r="I4594">
        <v>6.5860322999999998E-2</v>
      </c>
      <c r="K4594">
        <v>81.896000000000001</v>
      </c>
      <c r="L4594">
        <v>3.7</v>
      </c>
    </row>
    <row r="4595" spans="1:12"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
      <c r="A4601" t="s">
        <v>10</v>
      </c>
      <c r="B4601" t="s">
        <v>1482</v>
      </c>
      <c r="C4601" t="s">
        <v>67</v>
      </c>
      <c r="D4601">
        <v>2018</v>
      </c>
      <c r="E4601" t="s">
        <v>45</v>
      </c>
      <c r="F4601" t="s">
        <v>21</v>
      </c>
      <c r="G4601" t="s">
        <v>15</v>
      </c>
      <c r="H4601" t="s">
        <v>46</v>
      </c>
      <c r="I4601">
        <v>9.8663652000000004E-2</v>
      </c>
      <c r="K4601">
        <v>62.919400000000003</v>
      </c>
      <c r="L4601">
        <v>3.6</v>
      </c>
    </row>
    <row r="4602" spans="1:12"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x14ac:dyDescent="0.3">
      <c r="A4627" t="s">
        <v>10</v>
      </c>
      <c r="B4627" t="s">
        <v>1176</v>
      </c>
      <c r="C4627" t="s">
        <v>28</v>
      </c>
      <c r="D4627">
        <v>2018</v>
      </c>
      <c r="E4627" t="s">
        <v>138</v>
      </c>
      <c r="F4627" t="s">
        <v>14</v>
      </c>
      <c r="G4627" t="s">
        <v>26</v>
      </c>
      <c r="H4627" t="s">
        <v>40</v>
      </c>
      <c r="I4627">
        <v>0.23518320500000001</v>
      </c>
      <c r="K4627">
        <v>41.548000000000002</v>
      </c>
      <c r="L4627">
        <v>3.6</v>
      </c>
    </row>
    <row r="4628" spans="1:12" x14ac:dyDescent="0.3">
      <c r="A4628" t="s">
        <v>10</v>
      </c>
      <c r="B4628" t="s">
        <v>489</v>
      </c>
      <c r="C4628" t="s">
        <v>54</v>
      </c>
      <c r="D4628">
        <v>2018</v>
      </c>
      <c r="E4628" t="s">
        <v>138</v>
      </c>
      <c r="F4628" t="s">
        <v>14</v>
      </c>
      <c r="G4628" t="s">
        <v>26</v>
      </c>
      <c r="H4628" t="s">
        <v>40</v>
      </c>
      <c r="I4628">
        <v>6.4577332000000001E-2</v>
      </c>
      <c r="K4628">
        <v>230.5352</v>
      </c>
      <c r="L4628">
        <v>3.6</v>
      </c>
    </row>
    <row r="4629" spans="1:12"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
      <c r="A4644" t="s">
        <v>10</v>
      </c>
      <c r="B4644" t="s">
        <v>1567</v>
      </c>
      <c r="C4644" t="s">
        <v>24</v>
      </c>
      <c r="D4644">
        <v>2016</v>
      </c>
      <c r="E4644" t="s">
        <v>25</v>
      </c>
      <c r="F4644" t="s">
        <v>14</v>
      </c>
      <c r="G4644" t="s">
        <v>26</v>
      </c>
      <c r="H4644" t="s">
        <v>16</v>
      </c>
      <c r="I4644">
        <v>0.12152072</v>
      </c>
      <c r="J4644">
        <v>20.7</v>
      </c>
      <c r="K4644">
        <v>118.0466</v>
      </c>
      <c r="L4644">
        <v>3.6</v>
      </c>
    </row>
    <row r="4645" spans="1:12"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x14ac:dyDescent="0.3">
      <c r="A4666" t="s">
        <v>10</v>
      </c>
      <c r="B4666" t="s">
        <v>154</v>
      </c>
      <c r="C4666" t="s">
        <v>74</v>
      </c>
      <c r="D4666">
        <v>2015</v>
      </c>
      <c r="E4666" t="s">
        <v>33</v>
      </c>
      <c r="F4666" t="s">
        <v>34</v>
      </c>
      <c r="G4666" t="s">
        <v>30</v>
      </c>
      <c r="H4666" t="s">
        <v>16</v>
      </c>
      <c r="I4666">
        <v>5.6432784E-2</v>
      </c>
      <c r="J4666">
        <v>13.85</v>
      </c>
      <c r="K4666">
        <v>234.93</v>
      </c>
      <c r="L4666">
        <v>3.6</v>
      </c>
    </row>
    <row r="4667" spans="1:12"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x14ac:dyDescent="0.3">
      <c r="A4737" t="s">
        <v>10</v>
      </c>
      <c r="B4737" t="s">
        <v>1217</v>
      </c>
      <c r="C4737" t="s">
        <v>95</v>
      </c>
      <c r="D4737">
        <v>2018</v>
      </c>
      <c r="E4737" t="s">
        <v>45</v>
      </c>
      <c r="F4737" t="s">
        <v>21</v>
      </c>
      <c r="G4737" t="s">
        <v>15</v>
      </c>
      <c r="H4737" t="s">
        <v>46</v>
      </c>
      <c r="I4737">
        <v>8.1868040000000003E-2</v>
      </c>
      <c r="K4737">
        <v>46.803400000000003</v>
      </c>
      <c r="L4737">
        <v>3.6</v>
      </c>
    </row>
    <row r="4738" spans="1:12" x14ac:dyDescent="0.3">
      <c r="A4738" t="s">
        <v>10</v>
      </c>
      <c r="B4738" t="s">
        <v>124</v>
      </c>
      <c r="C4738" t="s">
        <v>67</v>
      </c>
      <c r="D4738">
        <v>2018</v>
      </c>
      <c r="E4738" t="s">
        <v>45</v>
      </c>
      <c r="F4738" t="s">
        <v>21</v>
      </c>
      <c r="G4738" t="s">
        <v>15</v>
      </c>
      <c r="H4738" t="s">
        <v>46</v>
      </c>
      <c r="I4738">
        <v>2.9578726E-2</v>
      </c>
      <c r="K4738">
        <v>143.57859999999999</v>
      </c>
      <c r="L4738">
        <v>3.6</v>
      </c>
    </row>
    <row r="4739" spans="1:12" x14ac:dyDescent="0.3">
      <c r="A4739" t="s">
        <v>10</v>
      </c>
      <c r="B4739" t="s">
        <v>1053</v>
      </c>
      <c r="C4739" t="s">
        <v>12</v>
      </c>
      <c r="D4739">
        <v>2018</v>
      </c>
      <c r="E4739" t="s">
        <v>45</v>
      </c>
      <c r="F4739" t="s">
        <v>21</v>
      </c>
      <c r="G4739" t="s">
        <v>15</v>
      </c>
      <c r="H4739" t="s">
        <v>46</v>
      </c>
      <c r="I4739">
        <v>8.5392428000000006E-2</v>
      </c>
      <c r="K4739">
        <v>226.76939999999999</v>
      </c>
      <c r="L4739">
        <v>3.6</v>
      </c>
    </row>
    <row r="4740" spans="1:12" x14ac:dyDescent="0.3">
      <c r="A4740" t="s">
        <v>10</v>
      </c>
      <c r="B4740" t="s">
        <v>1470</v>
      </c>
      <c r="C4740" t="s">
        <v>54</v>
      </c>
      <c r="D4740">
        <v>2018</v>
      </c>
      <c r="E4740" t="s">
        <v>45</v>
      </c>
      <c r="F4740" t="s">
        <v>21</v>
      </c>
      <c r="G4740" t="s">
        <v>15</v>
      </c>
      <c r="H4740" t="s">
        <v>46</v>
      </c>
      <c r="I4740">
        <v>1.7937483000000001E-2</v>
      </c>
      <c r="K4740">
        <v>103.499</v>
      </c>
      <c r="L4740">
        <v>3.6</v>
      </c>
    </row>
    <row r="4741" spans="1:12" x14ac:dyDescent="0.3">
      <c r="A4741" t="s">
        <v>10</v>
      </c>
      <c r="B4741" t="s">
        <v>838</v>
      </c>
      <c r="C4741" t="s">
        <v>48</v>
      </c>
      <c r="D4741">
        <v>2018</v>
      </c>
      <c r="E4741" t="s">
        <v>45</v>
      </c>
      <c r="F4741" t="s">
        <v>21</v>
      </c>
      <c r="G4741" t="s">
        <v>15</v>
      </c>
      <c r="H4741" t="s">
        <v>46</v>
      </c>
      <c r="I4741">
        <v>5.6328717E-2</v>
      </c>
      <c r="K4741">
        <v>63.916800000000002</v>
      </c>
      <c r="L4741">
        <v>3.6</v>
      </c>
    </row>
    <row r="4742" spans="1:12" x14ac:dyDescent="0.3">
      <c r="A4742" t="s">
        <v>10</v>
      </c>
      <c r="B4742" t="s">
        <v>365</v>
      </c>
      <c r="C4742" t="s">
        <v>48</v>
      </c>
      <c r="D4742">
        <v>2018</v>
      </c>
      <c r="E4742" t="s">
        <v>45</v>
      </c>
      <c r="F4742" t="s">
        <v>21</v>
      </c>
      <c r="G4742" t="s">
        <v>15</v>
      </c>
      <c r="H4742" t="s">
        <v>46</v>
      </c>
      <c r="I4742">
        <v>1.4143673000000001E-2</v>
      </c>
      <c r="K4742">
        <v>187.38720000000001</v>
      </c>
      <c r="L4742">
        <v>3.6</v>
      </c>
    </row>
    <row r="4743" spans="1:12" x14ac:dyDescent="0.3">
      <c r="A4743" t="s">
        <v>10</v>
      </c>
      <c r="B4743" t="s">
        <v>194</v>
      </c>
      <c r="C4743" t="s">
        <v>48</v>
      </c>
      <c r="D4743">
        <v>2018</v>
      </c>
      <c r="E4743" t="s">
        <v>45</v>
      </c>
      <c r="F4743" t="s">
        <v>21</v>
      </c>
      <c r="G4743" t="s">
        <v>15</v>
      </c>
      <c r="H4743" t="s">
        <v>46</v>
      </c>
      <c r="I4743">
        <v>5.9350009999999996E-3</v>
      </c>
      <c r="K4743">
        <v>98.835800000000006</v>
      </c>
      <c r="L4743">
        <v>3.6</v>
      </c>
    </row>
    <row r="4744" spans="1:12" x14ac:dyDescent="0.3">
      <c r="A4744" t="s">
        <v>10</v>
      </c>
      <c r="B4744" t="s">
        <v>901</v>
      </c>
      <c r="C4744" t="s">
        <v>24</v>
      </c>
      <c r="D4744">
        <v>2018</v>
      </c>
      <c r="E4744" t="s">
        <v>45</v>
      </c>
      <c r="F4744" t="s">
        <v>21</v>
      </c>
      <c r="G4744" t="s">
        <v>15</v>
      </c>
      <c r="H4744" t="s">
        <v>46</v>
      </c>
      <c r="I4744">
        <v>0.13511820199999999</v>
      </c>
      <c r="K4744">
        <v>52.564</v>
      </c>
      <c r="L4744">
        <v>3.6</v>
      </c>
    </row>
    <row r="4745" spans="1:12"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x14ac:dyDescent="0.3">
      <c r="A4787" t="s">
        <v>10</v>
      </c>
      <c r="B4787" t="s">
        <v>885</v>
      </c>
      <c r="C4787" t="s">
        <v>54</v>
      </c>
      <c r="D4787">
        <v>2018</v>
      </c>
      <c r="E4787" t="s">
        <v>138</v>
      </c>
      <c r="F4787" t="s">
        <v>14</v>
      </c>
      <c r="G4787" t="s">
        <v>26</v>
      </c>
      <c r="H4787" t="s">
        <v>40</v>
      </c>
      <c r="I4787">
        <v>0</v>
      </c>
      <c r="K4787">
        <v>98.2042</v>
      </c>
      <c r="L4787">
        <v>3.5</v>
      </c>
    </row>
    <row r="4788" spans="1:12"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
      <c r="A4797" t="s">
        <v>10</v>
      </c>
      <c r="B4797" t="s">
        <v>135</v>
      </c>
      <c r="C4797" t="s">
        <v>95</v>
      </c>
      <c r="D4797">
        <v>2016</v>
      </c>
      <c r="E4797" t="s">
        <v>25</v>
      </c>
      <c r="F4797" t="s">
        <v>14</v>
      </c>
      <c r="G4797" t="s">
        <v>26</v>
      </c>
      <c r="H4797" t="s">
        <v>16</v>
      </c>
      <c r="I4797">
        <v>0</v>
      </c>
      <c r="J4797">
        <v>12.35</v>
      </c>
      <c r="K4797">
        <v>76.232799999999997</v>
      </c>
      <c r="L4797">
        <v>3.5</v>
      </c>
    </row>
    <row r="4798" spans="1:12"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
      <c r="A4799" t="s">
        <v>10</v>
      </c>
      <c r="B4799" t="s">
        <v>155</v>
      </c>
      <c r="C4799" t="s">
        <v>28</v>
      </c>
      <c r="D4799">
        <v>2016</v>
      </c>
      <c r="E4799" t="s">
        <v>25</v>
      </c>
      <c r="F4799" t="s">
        <v>14</v>
      </c>
      <c r="G4799" t="s">
        <v>26</v>
      </c>
      <c r="H4799" t="s">
        <v>16</v>
      </c>
      <c r="I4799">
        <v>0.10408337600000001</v>
      </c>
      <c r="J4799">
        <v>20</v>
      </c>
      <c r="K4799">
        <v>107.4622</v>
      </c>
      <c r="L4799">
        <v>3.5</v>
      </c>
    </row>
    <row r="4800" spans="1:12"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862</v>
      </c>
      <c r="C4801" t="s">
        <v>24</v>
      </c>
      <c r="D4801">
        <v>2016</v>
      </c>
      <c r="E4801" t="s">
        <v>25</v>
      </c>
      <c r="F4801" t="s">
        <v>14</v>
      </c>
      <c r="G4801" t="s">
        <v>26</v>
      </c>
      <c r="H4801" t="s">
        <v>16</v>
      </c>
      <c r="I4801">
        <v>6.2700289000000006E-2</v>
      </c>
      <c r="J4801">
        <v>12.6</v>
      </c>
      <c r="K4801">
        <v>102.199</v>
      </c>
      <c r="L4801">
        <v>3.5</v>
      </c>
    </row>
    <row r="4802" spans="1:12"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581</v>
      </c>
      <c r="C4828" t="s">
        <v>12</v>
      </c>
      <c r="D4828">
        <v>2015</v>
      </c>
      <c r="E4828" t="s">
        <v>33</v>
      </c>
      <c r="F4828" t="s">
        <v>34</v>
      </c>
      <c r="G4828" t="s">
        <v>30</v>
      </c>
      <c r="H4828" t="s">
        <v>16</v>
      </c>
      <c r="I4828">
        <v>0.115826834</v>
      </c>
      <c r="J4828">
        <v>16</v>
      </c>
      <c r="K4828">
        <v>56.0246</v>
      </c>
      <c r="L4828">
        <v>3.5</v>
      </c>
    </row>
    <row r="4829" spans="1:12" x14ac:dyDescent="0.3">
      <c r="A4829" t="s">
        <v>10</v>
      </c>
      <c r="B4829" t="s">
        <v>133</v>
      </c>
      <c r="C4829" t="s">
        <v>48</v>
      </c>
      <c r="D4829">
        <v>2015</v>
      </c>
      <c r="E4829" t="s">
        <v>33</v>
      </c>
      <c r="F4829" t="s">
        <v>34</v>
      </c>
      <c r="G4829" t="s">
        <v>30</v>
      </c>
      <c r="H4829" t="s">
        <v>16</v>
      </c>
      <c r="I4829">
        <v>5.8234621E-2</v>
      </c>
      <c r="J4829">
        <v>12.3</v>
      </c>
      <c r="K4829">
        <v>58.7562</v>
      </c>
      <c r="L4829">
        <v>3.5</v>
      </c>
    </row>
    <row r="4830" spans="1:12"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
      <c r="A4832" t="s">
        <v>10</v>
      </c>
      <c r="B4832" t="s">
        <v>710</v>
      </c>
      <c r="C4832" t="s">
        <v>95</v>
      </c>
      <c r="D4832">
        <v>2020</v>
      </c>
      <c r="E4832" t="s">
        <v>37</v>
      </c>
      <c r="F4832" t="s">
        <v>34</v>
      </c>
      <c r="G4832" t="s">
        <v>30</v>
      </c>
      <c r="H4832" t="s">
        <v>16</v>
      </c>
      <c r="I4832">
        <v>5.6033565E-2</v>
      </c>
      <c r="J4832">
        <v>11.85</v>
      </c>
      <c r="K4832">
        <v>51.4666</v>
      </c>
      <c r="L4832">
        <v>3.5</v>
      </c>
    </row>
    <row r="4833" spans="1:12"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1124</v>
      </c>
      <c r="C4865" t="s">
        <v>48</v>
      </c>
      <c r="D4865">
        <v>2011</v>
      </c>
      <c r="E4865" t="s">
        <v>39</v>
      </c>
      <c r="F4865" t="s">
        <v>21</v>
      </c>
      <c r="G4865" t="s">
        <v>30</v>
      </c>
      <c r="H4865" t="s">
        <v>40</v>
      </c>
      <c r="I4865">
        <v>0.22547652800000001</v>
      </c>
      <c r="J4865">
        <v>7.63</v>
      </c>
      <c r="K4865">
        <v>45.1402</v>
      </c>
      <c r="L4865">
        <v>3.5</v>
      </c>
    </row>
    <row r="4866" spans="1:12"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
      <c r="A4879" t="s">
        <v>10</v>
      </c>
      <c r="B4879" t="s">
        <v>825</v>
      </c>
      <c r="C4879" t="s">
        <v>67</v>
      </c>
      <c r="D4879">
        <v>2014</v>
      </c>
      <c r="E4879" t="s">
        <v>29</v>
      </c>
      <c r="F4879" t="s">
        <v>21</v>
      </c>
      <c r="G4879" t="s">
        <v>30</v>
      </c>
      <c r="H4879" t="s">
        <v>16</v>
      </c>
      <c r="I4879">
        <v>0.11907725500000001</v>
      </c>
      <c r="J4879">
        <v>13.6</v>
      </c>
      <c r="K4879">
        <v>231.23</v>
      </c>
      <c r="L4879">
        <v>3.5</v>
      </c>
    </row>
    <row r="4880" spans="1:12"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x14ac:dyDescent="0.3">
      <c r="A4912" t="s">
        <v>10</v>
      </c>
      <c r="B4912" t="s">
        <v>1479</v>
      </c>
      <c r="C4912" t="s">
        <v>95</v>
      </c>
      <c r="D4912">
        <v>2018</v>
      </c>
      <c r="E4912" t="s">
        <v>45</v>
      </c>
      <c r="F4912" t="s">
        <v>21</v>
      </c>
      <c r="G4912" t="s">
        <v>15</v>
      </c>
      <c r="H4912" t="s">
        <v>46</v>
      </c>
      <c r="I4912">
        <v>1.6979325999999999E-2</v>
      </c>
      <c r="K4912">
        <v>177.03700000000001</v>
      </c>
      <c r="L4912">
        <v>3.5</v>
      </c>
    </row>
    <row r="4913" spans="1:12" x14ac:dyDescent="0.3">
      <c r="A4913" t="s">
        <v>10</v>
      </c>
      <c r="B4913" t="s">
        <v>1577</v>
      </c>
      <c r="C4913" t="s">
        <v>67</v>
      </c>
      <c r="D4913">
        <v>2018</v>
      </c>
      <c r="E4913" t="s">
        <v>45</v>
      </c>
      <c r="F4913" t="s">
        <v>21</v>
      </c>
      <c r="G4913" t="s">
        <v>15</v>
      </c>
      <c r="H4913" t="s">
        <v>46</v>
      </c>
      <c r="I4913">
        <v>0</v>
      </c>
      <c r="K4913">
        <v>184.26079999999999</v>
      </c>
      <c r="L4913">
        <v>3.5</v>
      </c>
    </row>
    <row r="4914" spans="1:12" x14ac:dyDescent="0.3">
      <c r="A4914" t="s">
        <v>10</v>
      </c>
      <c r="B4914" t="s">
        <v>1333</v>
      </c>
      <c r="C4914" t="s">
        <v>24</v>
      </c>
      <c r="D4914">
        <v>2018</v>
      </c>
      <c r="E4914" t="s">
        <v>45</v>
      </c>
      <c r="F4914" t="s">
        <v>21</v>
      </c>
      <c r="G4914" t="s">
        <v>15</v>
      </c>
      <c r="H4914" t="s">
        <v>46</v>
      </c>
      <c r="I4914">
        <v>0.12780038799999999</v>
      </c>
      <c r="K4914">
        <v>177.03700000000001</v>
      </c>
      <c r="L4914">
        <v>3.5</v>
      </c>
    </row>
    <row r="4915" spans="1:12"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x14ac:dyDescent="0.3">
      <c r="A4987" t="s">
        <v>10</v>
      </c>
      <c r="B4987" t="s">
        <v>55</v>
      </c>
      <c r="C4987" t="s">
        <v>12</v>
      </c>
      <c r="D4987">
        <v>2014</v>
      </c>
      <c r="E4987" t="s">
        <v>29</v>
      </c>
      <c r="F4987" t="s">
        <v>21</v>
      </c>
      <c r="G4987" t="s">
        <v>30</v>
      </c>
      <c r="H4987" t="s">
        <v>16</v>
      </c>
      <c r="I4987">
        <v>1.8789455E-2</v>
      </c>
      <c r="J4987">
        <v>20.25</v>
      </c>
      <c r="K4987">
        <v>222.0772</v>
      </c>
      <c r="L4987">
        <v>3.4</v>
      </c>
    </row>
    <row r="4988" spans="1:12"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x14ac:dyDescent="0.3">
      <c r="A4998" t="s">
        <v>10</v>
      </c>
      <c r="B4998" t="s">
        <v>701</v>
      </c>
      <c r="C4998" t="s">
        <v>67</v>
      </c>
      <c r="D4998">
        <v>2018</v>
      </c>
      <c r="E4998" t="s">
        <v>45</v>
      </c>
      <c r="F4998" t="s">
        <v>21</v>
      </c>
      <c r="G4998" t="s">
        <v>15</v>
      </c>
      <c r="H4998" t="s">
        <v>46</v>
      </c>
      <c r="I4998">
        <v>0.13800843099999999</v>
      </c>
      <c r="K4998">
        <v>54.829799999999999</v>
      </c>
      <c r="L4998">
        <v>3.4</v>
      </c>
    </row>
    <row r="4999" spans="1:12"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
      <c r="A5019" t="s">
        <v>10</v>
      </c>
      <c r="B5019" t="s">
        <v>490</v>
      </c>
      <c r="C5019" t="s">
        <v>159</v>
      </c>
      <c r="D5019">
        <v>2012</v>
      </c>
      <c r="E5019" t="s">
        <v>13</v>
      </c>
      <c r="F5019" t="s">
        <v>14</v>
      </c>
      <c r="G5019" t="s">
        <v>15</v>
      </c>
      <c r="H5019" t="s">
        <v>16</v>
      </c>
      <c r="I5019">
        <v>0</v>
      </c>
      <c r="J5019">
        <v>16.7</v>
      </c>
      <c r="K5019">
        <v>63.616799999999998</v>
      </c>
      <c r="L5019">
        <v>3.3</v>
      </c>
    </row>
    <row r="5020" spans="1:12"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1514</v>
      </c>
      <c r="C5063" t="s">
        <v>12</v>
      </c>
      <c r="D5063">
        <v>2015</v>
      </c>
      <c r="E5063" t="s">
        <v>33</v>
      </c>
      <c r="F5063" t="s">
        <v>34</v>
      </c>
      <c r="G5063" t="s">
        <v>30</v>
      </c>
      <c r="H5063" t="s">
        <v>16</v>
      </c>
      <c r="I5063">
        <v>1.3064516E-2</v>
      </c>
      <c r="J5063">
        <v>13.65</v>
      </c>
      <c r="K5063">
        <v>115.5834</v>
      </c>
      <c r="L5063">
        <v>3.3</v>
      </c>
    </row>
    <row r="5064" spans="1:12"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
      <c r="A5096" t="s">
        <v>10</v>
      </c>
      <c r="B5096" t="s">
        <v>500</v>
      </c>
      <c r="C5096" t="s">
        <v>24</v>
      </c>
      <c r="D5096">
        <v>2014</v>
      </c>
      <c r="E5096" t="s">
        <v>29</v>
      </c>
      <c r="F5096" t="s">
        <v>21</v>
      </c>
      <c r="G5096" t="s">
        <v>30</v>
      </c>
      <c r="H5096" t="s">
        <v>16</v>
      </c>
      <c r="I5096">
        <v>0</v>
      </c>
      <c r="J5096">
        <v>9.5</v>
      </c>
      <c r="K5096">
        <v>231.36680000000001</v>
      </c>
      <c r="L5096">
        <v>3.3</v>
      </c>
    </row>
    <row r="5097" spans="1:12"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x14ac:dyDescent="0.3">
      <c r="A5116" t="s">
        <v>10</v>
      </c>
      <c r="B5116" t="s">
        <v>250</v>
      </c>
      <c r="C5116" t="s">
        <v>28</v>
      </c>
      <c r="D5116">
        <v>2018</v>
      </c>
      <c r="E5116" t="s">
        <v>45</v>
      </c>
      <c r="F5116" t="s">
        <v>21</v>
      </c>
      <c r="G5116" t="s">
        <v>15</v>
      </c>
      <c r="H5116" t="s">
        <v>46</v>
      </c>
      <c r="I5116">
        <v>3.0693308999999998E-2</v>
      </c>
      <c r="K5116">
        <v>228.0352</v>
      </c>
      <c r="L5116">
        <v>3.3</v>
      </c>
    </row>
    <row r="5117" spans="1:12" x14ac:dyDescent="0.3">
      <c r="A5117" t="s">
        <v>10</v>
      </c>
      <c r="B5117" t="s">
        <v>1004</v>
      </c>
      <c r="C5117" t="s">
        <v>67</v>
      </c>
      <c r="D5117">
        <v>2018</v>
      </c>
      <c r="E5117" t="s">
        <v>45</v>
      </c>
      <c r="F5117" t="s">
        <v>21</v>
      </c>
      <c r="G5117" t="s">
        <v>15</v>
      </c>
      <c r="H5117" t="s">
        <v>46</v>
      </c>
      <c r="I5117">
        <v>0.14331999500000001</v>
      </c>
      <c r="K5117">
        <v>237.5222</v>
      </c>
      <c r="L5117">
        <v>3.3</v>
      </c>
    </row>
    <row r="5118" spans="1:12" x14ac:dyDescent="0.3">
      <c r="A5118" t="s">
        <v>10</v>
      </c>
      <c r="B5118" t="s">
        <v>526</v>
      </c>
      <c r="C5118" t="s">
        <v>54</v>
      </c>
      <c r="D5118">
        <v>2018</v>
      </c>
      <c r="E5118" t="s">
        <v>45</v>
      </c>
      <c r="F5118" t="s">
        <v>21</v>
      </c>
      <c r="G5118" t="s">
        <v>15</v>
      </c>
      <c r="H5118" t="s">
        <v>46</v>
      </c>
      <c r="I5118">
        <v>6.9250192000000002E-2</v>
      </c>
      <c r="K5118">
        <v>232.9616</v>
      </c>
      <c r="L5118">
        <v>3.3</v>
      </c>
    </row>
    <row r="5119" spans="1:12"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x14ac:dyDescent="0.3">
      <c r="A5129" t="s">
        <v>10</v>
      </c>
      <c r="B5129" t="s">
        <v>1345</v>
      </c>
      <c r="C5129" t="s">
        <v>28</v>
      </c>
      <c r="D5129">
        <v>2012</v>
      </c>
      <c r="E5129" t="s">
        <v>13</v>
      </c>
      <c r="F5129" t="s">
        <v>14</v>
      </c>
      <c r="G5129" t="s">
        <v>15</v>
      </c>
      <c r="H5129" t="s">
        <v>16</v>
      </c>
      <c r="I5129">
        <v>4.0268044000000003E-2</v>
      </c>
      <c r="J5129">
        <v>8.6</v>
      </c>
      <c r="K5129">
        <v>191.453</v>
      </c>
      <c r="L5129">
        <v>3.2</v>
      </c>
    </row>
    <row r="5130" spans="1:12"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x14ac:dyDescent="0.3">
      <c r="A5134" t="s">
        <v>10</v>
      </c>
      <c r="B5134" t="s">
        <v>124</v>
      </c>
      <c r="C5134" t="s">
        <v>67</v>
      </c>
      <c r="D5134">
        <v>2018</v>
      </c>
      <c r="E5134" t="s">
        <v>138</v>
      </c>
      <c r="F5134" t="s">
        <v>14</v>
      </c>
      <c r="G5134" t="s">
        <v>26</v>
      </c>
      <c r="H5134" t="s">
        <v>40</v>
      </c>
      <c r="I5134">
        <v>5.2040538999999997E-2</v>
      </c>
      <c r="K5134">
        <v>143.17859999999999</v>
      </c>
      <c r="L5134">
        <v>3.2</v>
      </c>
    </row>
    <row r="5135" spans="1:12"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x14ac:dyDescent="0.3">
      <c r="A5171" t="s">
        <v>10</v>
      </c>
      <c r="B5171" t="s">
        <v>1422</v>
      </c>
      <c r="C5171" t="s">
        <v>95</v>
      </c>
      <c r="D5171">
        <v>2018</v>
      </c>
      <c r="E5171" t="s">
        <v>45</v>
      </c>
      <c r="F5171" t="s">
        <v>21</v>
      </c>
      <c r="G5171" t="s">
        <v>15</v>
      </c>
      <c r="H5171" t="s">
        <v>46</v>
      </c>
      <c r="I5171">
        <v>6.7175915000000003E-2</v>
      </c>
      <c r="K5171">
        <v>187.124</v>
      </c>
      <c r="L5171">
        <v>3.2</v>
      </c>
    </row>
    <row r="5172" spans="1:12" x14ac:dyDescent="0.3">
      <c r="A5172" t="s">
        <v>10</v>
      </c>
      <c r="B5172" t="s">
        <v>253</v>
      </c>
      <c r="C5172" t="s">
        <v>67</v>
      </c>
      <c r="D5172">
        <v>2018</v>
      </c>
      <c r="E5172" t="s">
        <v>45</v>
      </c>
      <c r="F5172" t="s">
        <v>21</v>
      </c>
      <c r="G5172" t="s">
        <v>15</v>
      </c>
      <c r="H5172" t="s">
        <v>46</v>
      </c>
      <c r="I5172">
        <v>6.2920180000000006E-2</v>
      </c>
      <c r="K5172">
        <v>88.985600000000005</v>
      </c>
      <c r="L5172">
        <v>3.2</v>
      </c>
    </row>
    <row r="5173" spans="1:12" x14ac:dyDescent="0.3">
      <c r="A5173" t="s">
        <v>10</v>
      </c>
      <c r="B5173" t="s">
        <v>630</v>
      </c>
      <c r="C5173" t="s">
        <v>54</v>
      </c>
      <c r="D5173">
        <v>2018</v>
      </c>
      <c r="E5173" t="s">
        <v>45</v>
      </c>
      <c r="F5173" t="s">
        <v>21</v>
      </c>
      <c r="G5173" t="s">
        <v>15</v>
      </c>
      <c r="H5173" t="s">
        <v>46</v>
      </c>
      <c r="I5173">
        <v>2.3417004000000002E-2</v>
      </c>
      <c r="K5173">
        <v>223.84039999999999</v>
      </c>
      <c r="L5173">
        <v>3.2</v>
      </c>
    </row>
    <row r="5174" spans="1:12" x14ac:dyDescent="0.3">
      <c r="A5174" t="s">
        <v>10</v>
      </c>
      <c r="B5174" t="s">
        <v>735</v>
      </c>
      <c r="C5174" t="s">
        <v>48</v>
      </c>
      <c r="D5174">
        <v>2018</v>
      </c>
      <c r="E5174" t="s">
        <v>45</v>
      </c>
      <c r="F5174" t="s">
        <v>21</v>
      </c>
      <c r="G5174" t="s">
        <v>15</v>
      </c>
      <c r="H5174" t="s">
        <v>46</v>
      </c>
      <c r="I5174">
        <v>7.8024650000000001E-2</v>
      </c>
      <c r="K5174">
        <v>171.44220000000001</v>
      </c>
      <c r="L5174">
        <v>3.2</v>
      </c>
    </row>
    <row r="5175" spans="1:12"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x14ac:dyDescent="0.3">
      <c r="A5220" t="s">
        <v>10</v>
      </c>
      <c r="B5220" t="s">
        <v>1458</v>
      </c>
      <c r="C5220" t="s">
        <v>28</v>
      </c>
      <c r="D5220">
        <v>2018</v>
      </c>
      <c r="E5220" t="s">
        <v>45</v>
      </c>
      <c r="F5220" t="s">
        <v>21</v>
      </c>
      <c r="G5220" t="s">
        <v>15</v>
      </c>
      <c r="H5220" t="s">
        <v>46</v>
      </c>
      <c r="I5220">
        <v>2.748331E-2</v>
      </c>
      <c r="K5220">
        <v>169.37899999999999</v>
      </c>
      <c r="L5220">
        <v>3.1</v>
      </c>
    </row>
    <row r="5221" spans="1:12" x14ac:dyDescent="0.3">
      <c r="A5221" t="s">
        <v>10</v>
      </c>
      <c r="B5221" t="s">
        <v>807</v>
      </c>
      <c r="C5221" t="s">
        <v>12</v>
      </c>
      <c r="D5221">
        <v>2018</v>
      </c>
      <c r="E5221" t="s">
        <v>45</v>
      </c>
      <c r="F5221" t="s">
        <v>21</v>
      </c>
      <c r="G5221" t="s">
        <v>15</v>
      </c>
      <c r="H5221" t="s">
        <v>46</v>
      </c>
      <c r="I5221">
        <v>2.9510313E-2</v>
      </c>
      <c r="K5221">
        <v>141.9838</v>
      </c>
      <c r="L5221">
        <v>3.1</v>
      </c>
    </row>
    <row r="5222" spans="1:12" x14ac:dyDescent="0.3">
      <c r="A5222" t="s">
        <v>10</v>
      </c>
      <c r="B5222" t="s">
        <v>457</v>
      </c>
      <c r="C5222" t="s">
        <v>54</v>
      </c>
      <c r="D5222">
        <v>2018</v>
      </c>
      <c r="E5222" t="s">
        <v>45</v>
      </c>
      <c r="F5222" t="s">
        <v>21</v>
      </c>
      <c r="G5222" t="s">
        <v>15</v>
      </c>
      <c r="H5222" t="s">
        <v>46</v>
      </c>
      <c r="I5222">
        <v>3.3276066E-2</v>
      </c>
      <c r="K5222">
        <v>153.8314</v>
      </c>
      <c r="L5222">
        <v>3.1</v>
      </c>
    </row>
    <row r="5223" spans="1:12" x14ac:dyDescent="0.3">
      <c r="A5223" t="s">
        <v>10</v>
      </c>
      <c r="B5223" t="s">
        <v>1565</v>
      </c>
      <c r="C5223" t="s">
        <v>48</v>
      </c>
      <c r="D5223">
        <v>2018</v>
      </c>
      <c r="E5223" t="s">
        <v>45</v>
      </c>
      <c r="F5223" t="s">
        <v>21</v>
      </c>
      <c r="G5223" t="s">
        <v>15</v>
      </c>
      <c r="H5223" t="s">
        <v>46</v>
      </c>
      <c r="I5223">
        <v>3.0143704E-2</v>
      </c>
      <c r="K5223">
        <v>222.01140000000001</v>
      </c>
      <c r="L5223">
        <v>3.1</v>
      </c>
    </row>
    <row r="5224" spans="1:12" x14ac:dyDescent="0.3">
      <c r="A5224" t="s">
        <v>10</v>
      </c>
      <c r="B5224" t="s">
        <v>1400</v>
      </c>
      <c r="C5224" t="s">
        <v>67</v>
      </c>
      <c r="D5224">
        <v>2018</v>
      </c>
      <c r="E5224" t="s">
        <v>138</v>
      </c>
      <c r="F5224" t="s">
        <v>14</v>
      </c>
      <c r="G5224" t="s">
        <v>26</v>
      </c>
      <c r="H5224" t="s">
        <v>40</v>
      </c>
      <c r="I5224">
        <v>0.25539489599999998</v>
      </c>
      <c r="K5224">
        <v>196.8794</v>
      </c>
      <c r="L5224">
        <v>3</v>
      </c>
    </row>
    <row r="5225" spans="1:12" x14ac:dyDescent="0.3">
      <c r="A5225" t="s">
        <v>10</v>
      </c>
      <c r="B5225" t="s">
        <v>1122</v>
      </c>
      <c r="C5225" t="s">
        <v>24</v>
      </c>
      <c r="D5225">
        <v>2016</v>
      </c>
      <c r="E5225" t="s">
        <v>25</v>
      </c>
      <c r="F5225" t="s">
        <v>14</v>
      </c>
      <c r="G5225" t="s">
        <v>26</v>
      </c>
      <c r="H5225" t="s">
        <v>16</v>
      </c>
      <c r="I5225">
        <v>2.4205661E-2</v>
      </c>
      <c r="J5225">
        <v>8.39</v>
      </c>
      <c r="K5225">
        <v>114.0176</v>
      </c>
      <c r="L5225">
        <v>3</v>
      </c>
    </row>
    <row r="5226" spans="1:12"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x14ac:dyDescent="0.3">
      <c r="A5257" t="s">
        <v>10</v>
      </c>
      <c r="B5257" t="s">
        <v>1320</v>
      </c>
      <c r="C5257" t="s">
        <v>95</v>
      </c>
      <c r="D5257">
        <v>2012</v>
      </c>
      <c r="E5257" t="s">
        <v>13</v>
      </c>
      <c r="F5257" t="s">
        <v>14</v>
      </c>
      <c r="G5257" t="s">
        <v>15</v>
      </c>
      <c r="H5257" t="s">
        <v>16</v>
      </c>
      <c r="I5257">
        <v>3.83808E-2</v>
      </c>
      <c r="J5257">
        <v>7.22</v>
      </c>
      <c r="K5257">
        <v>62.350999999999999</v>
      </c>
      <c r="L5257">
        <v>3</v>
      </c>
    </row>
    <row r="5258" spans="1:12" x14ac:dyDescent="0.3">
      <c r="A5258" t="s">
        <v>10</v>
      </c>
      <c r="B5258" t="s">
        <v>1544</v>
      </c>
      <c r="C5258" t="s">
        <v>95</v>
      </c>
      <c r="D5258">
        <v>2012</v>
      </c>
      <c r="E5258" t="s">
        <v>13</v>
      </c>
      <c r="F5258" t="s">
        <v>14</v>
      </c>
      <c r="G5258" t="s">
        <v>15</v>
      </c>
      <c r="H5258" t="s">
        <v>16</v>
      </c>
      <c r="I5258">
        <v>0</v>
      </c>
      <c r="J5258">
        <v>19.7</v>
      </c>
      <c r="K5258">
        <v>194.411</v>
      </c>
      <c r="L5258">
        <v>3</v>
      </c>
    </row>
    <row r="5259" spans="1:12"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x14ac:dyDescent="0.3">
      <c r="A5272" t="s">
        <v>10</v>
      </c>
      <c r="B5272" t="s">
        <v>1534</v>
      </c>
      <c r="C5272" t="s">
        <v>24</v>
      </c>
      <c r="D5272">
        <v>2018</v>
      </c>
      <c r="E5272" t="s">
        <v>138</v>
      </c>
      <c r="F5272" t="s">
        <v>14</v>
      </c>
      <c r="G5272" t="s">
        <v>26</v>
      </c>
      <c r="H5272" t="s">
        <v>40</v>
      </c>
      <c r="I5272">
        <v>0.17038272600000001</v>
      </c>
      <c r="K5272">
        <v>45.271799999999999</v>
      </c>
      <c r="L5272">
        <v>3</v>
      </c>
    </row>
    <row r="5273" spans="1:12"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
      <c r="A5283" t="s">
        <v>10</v>
      </c>
      <c r="B5283" t="s">
        <v>436</v>
      </c>
      <c r="C5283" t="s">
        <v>95</v>
      </c>
      <c r="D5283">
        <v>2016</v>
      </c>
      <c r="E5283" t="s">
        <v>25</v>
      </c>
      <c r="F5283" t="s">
        <v>14</v>
      </c>
      <c r="G5283" t="s">
        <v>26</v>
      </c>
      <c r="H5283" t="s">
        <v>16</v>
      </c>
      <c r="I5283">
        <v>2.9560451000000001E-2</v>
      </c>
      <c r="J5283">
        <v>6.71</v>
      </c>
      <c r="K5283">
        <v>65.8142</v>
      </c>
      <c r="L5283">
        <v>3</v>
      </c>
    </row>
    <row r="5284" spans="1:12"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157</v>
      </c>
      <c r="C5289" t="s">
        <v>54</v>
      </c>
      <c r="D5289">
        <v>2016</v>
      </c>
      <c r="E5289" t="s">
        <v>25</v>
      </c>
      <c r="F5289" t="s">
        <v>14</v>
      </c>
      <c r="G5289" t="s">
        <v>26</v>
      </c>
      <c r="H5289" t="s">
        <v>16</v>
      </c>
      <c r="I5289">
        <v>4.4252620999999999E-2</v>
      </c>
      <c r="J5289">
        <v>5.19</v>
      </c>
      <c r="K5289">
        <v>102.599</v>
      </c>
      <c r="L5289">
        <v>3</v>
      </c>
    </row>
    <row r="5290" spans="1:12" x14ac:dyDescent="0.3">
      <c r="A5290" t="s">
        <v>10</v>
      </c>
      <c r="B5290" t="s">
        <v>810</v>
      </c>
      <c r="C5290" t="s">
        <v>48</v>
      </c>
      <c r="D5290">
        <v>2016</v>
      </c>
      <c r="E5290" t="s">
        <v>25</v>
      </c>
      <c r="F5290" t="s">
        <v>14</v>
      </c>
      <c r="G5290" t="s">
        <v>26</v>
      </c>
      <c r="H5290" t="s">
        <v>16</v>
      </c>
      <c r="I5290">
        <v>0</v>
      </c>
      <c r="J5290">
        <v>11.35</v>
      </c>
      <c r="K5290">
        <v>101.5016</v>
      </c>
      <c r="L5290">
        <v>3</v>
      </c>
    </row>
    <row r="5291" spans="1:12"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733</v>
      </c>
      <c r="C5313" t="s">
        <v>12</v>
      </c>
      <c r="D5313">
        <v>2015</v>
      </c>
      <c r="E5313" t="s">
        <v>33</v>
      </c>
      <c r="F5313" t="s">
        <v>34</v>
      </c>
      <c r="G5313" t="s">
        <v>30</v>
      </c>
      <c r="H5313" t="s">
        <v>16</v>
      </c>
      <c r="I5313">
        <v>7.7475883999999995E-2</v>
      </c>
      <c r="J5313">
        <v>5.82</v>
      </c>
      <c r="K5313">
        <v>255.333</v>
      </c>
      <c r="L5313">
        <v>3</v>
      </c>
    </row>
    <row r="5314" spans="1:12"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956</v>
      </c>
      <c r="C5315" t="s">
        <v>12</v>
      </c>
      <c r="D5315">
        <v>2015</v>
      </c>
      <c r="E5315" t="s">
        <v>33</v>
      </c>
      <c r="F5315" t="s">
        <v>34</v>
      </c>
      <c r="G5315" t="s">
        <v>30</v>
      </c>
      <c r="H5315" t="s">
        <v>16</v>
      </c>
      <c r="I5315">
        <v>0.16004458899999999</v>
      </c>
      <c r="J5315">
        <v>13.5</v>
      </c>
      <c r="K5315">
        <v>145.4102</v>
      </c>
      <c r="L5315">
        <v>3</v>
      </c>
    </row>
    <row r="5316" spans="1:12"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x14ac:dyDescent="0.3">
      <c r="A5345" t="s">
        <v>10</v>
      </c>
      <c r="B5345" t="s">
        <v>923</v>
      </c>
      <c r="C5345" t="s">
        <v>12</v>
      </c>
      <c r="D5345">
        <v>2017</v>
      </c>
      <c r="E5345" t="s">
        <v>50</v>
      </c>
      <c r="F5345" t="s">
        <v>34</v>
      </c>
      <c r="G5345" t="s">
        <v>26</v>
      </c>
      <c r="H5345" t="s">
        <v>16</v>
      </c>
      <c r="I5345">
        <v>5.7047755999999998E-2</v>
      </c>
      <c r="J5345">
        <v>11</v>
      </c>
      <c r="K5345">
        <v>240.4512</v>
      </c>
      <c r="L5345">
        <v>3</v>
      </c>
    </row>
    <row r="5346" spans="1:12"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
      <c r="A5367" t="s">
        <v>10</v>
      </c>
      <c r="B5367" t="s">
        <v>887</v>
      </c>
      <c r="C5367" t="s">
        <v>48</v>
      </c>
      <c r="D5367">
        <v>2014</v>
      </c>
      <c r="E5367" t="s">
        <v>29</v>
      </c>
      <c r="F5367" t="s">
        <v>21</v>
      </c>
      <c r="G5367" t="s">
        <v>30</v>
      </c>
      <c r="H5367" t="s">
        <v>16</v>
      </c>
      <c r="I5367">
        <v>3.7539164E-2</v>
      </c>
      <c r="J5367">
        <v>11.5</v>
      </c>
      <c r="K5367">
        <v>106.9254</v>
      </c>
      <c r="L5367">
        <v>3</v>
      </c>
    </row>
    <row r="5368" spans="1:12"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597</v>
      </c>
      <c r="C5386" t="s">
        <v>67</v>
      </c>
      <c r="D5386">
        <v>2022</v>
      </c>
      <c r="E5386" t="s">
        <v>20</v>
      </c>
      <c r="F5386" t="s">
        <v>21</v>
      </c>
      <c r="G5386" t="s">
        <v>15</v>
      </c>
      <c r="H5386" t="s">
        <v>22</v>
      </c>
      <c r="I5386">
        <v>4.8403392000000003E-2</v>
      </c>
      <c r="J5386">
        <v>10.5</v>
      </c>
      <c r="K5386">
        <v>48.2376</v>
      </c>
      <c r="L5386">
        <v>3</v>
      </c>
    </row>
    <row r="5387" spans="1:12" x14ac:dyDescent="0.3">
      <c r="A5387" t="s">
        <v>10</v>
      </c>
      <c r="B5387" t="s">
        <v>1494</v>
      </c>
      <c r="C5387" t="s">
        <v>24</v>
      </c>
      <c r="D5387">
        <v>2022</v>
      </c>
      <c r="E5387" t="s">
        <v>20</v>
      </c>
      <c r="F5387" t="s">
        <v>21</v>
      </c>
      <c r="G5387" t="s">
        <v>15</v>
      </c>
      <c r="H5387" t="s">
        <v>22</v>
      </c>
      <c r="I5387">
        <v>7.0979697999999994E-2</v>
      </c>
      <c r="J5387">
        <v>18.7</v>
      </c>
      <c r="K5387">
        <v>229.501</v>
      </c>
      <c r="L5387">
        <v>3</v>
      </c>
    </row>
    <row r="5388" spans="1:12"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x14ac:dyDescent="0.3">
      <c r="A5410" t="s">
        <v>10</v>
      </c>
      <c r="B5410" t="s">
        <v>776</v>
      </c>
      <c r="C5410" t="s">
        <v>57</v>
      </c>
      <c r="D5410">
        <v>2018</v>
      </c>
      <c r="E5410" t="s">
        <v>45</v>
      </c>
      <c r="F5410" t="s">
        <v>21</v>
      </c>
      <c r="G5410" t="s">
        <v>15</v>
      </c>
      <c r="H5410" t="s">
        <v>46</v>
      </c>
      <c r="I5410">
        <v>5.6192275999999999E-2</v>
      </c>
      <c r="K5410">
        <v>103.1648</v>
      </c>
      <c r="L5410">
        <v>3</v>
      </c>
    </row>
    <row r="5411" spans="1:12" x14ac:dyDescent="0.3">
      <c r="A5411" t="s">
        <v>10</v>
      </c>
      <c r="B5411" t="s">
        <v>1120</v>
      </c>
      <c r="C5411" t="s">
        <v>67</v>
      </c>
      <c r="D5411">
        <v>2018</v>
      </c>
      <c r="E5411" t="s">
        <v>45</v>
      </c>
      <c r="F5411" t="s">
        <v>21</v>
      </c>
      <c r="G5411" t="s">
        <v>15</v>
      </c>
      <c r="H5411" t="s">
        <v>46</v>
      </c>
      <c r="I5411">
        <v>6.7543726999999998E-2</v>
      </c>
      <c r="K5411">
        <v>57.2562</v>
      </c>
      <c r="L5411">
        <v>3</v>
      </c>
    </row>
    <row r="5412" spans="1:12" x14ac:dyDescent="0.3">
      <c r="A5412" t="s">
        <v>10</v>
      </c>
      <c r="B5412" t="s">
        <v>461</v>
      </c>
      <c r="C5412" t="s">
        <v>12</v>
      </c>
      <c r="D5412">
        <v>2018</v>
      </c>
      <c r="E5412" t="s">
        <v>45</v>
      </c>
      <c r="F5412" t="s">
        <v>21</v>
      </c>
      <c r="G5412" t="s">
        <v>15</v>
      </c>
      <c r="H5412" t="s">
        <v>46</v>
      </c>
      <c r="I5412">
        <v>0.16072286299999999</v>
      </c>
      <c r="K5412">
        <v>65.716800000000006</v>
      </c>
      <c r="L5412">
        <v>3</v>
      </c>
    </row>
    <row r="5413" spans="1:12" x14ac:dyDescent="0.3">
      <c r="A5413" t="s">
        <v>10</v>
      </c>
      <c r="B5413" t="s">
        <v>271</v>
      </c>
      <c r="C5413" t="s">
        <v>12</v>
      </c>
      <c r="D5413">
        <v>2018</v>
      </c>
      <c r="E5413" t="s">
        <v>45</v>
      </c>
      <c r="F5413" t="s">
        <v>21</v>
      </c>
      <c r="G5413" t="s">
        <v>15</v>
      </c>
      <c r="H5413" t="s">
        <v>46</v>
      </c>
      <c r="I5413">
        <v>4.6544983999999998E-2</v>
      </c>
      <c r="K5413">
        <v>172.04220000000001</v>
      </c>
      <c r="L5413">
        <v>3</v>
      </c>
    </row>
    <row r="5414" spans="1:12" x14ac:dyDescent="0.3">
      <c r="A5414" t="s">
        <v>10</v>
      </c>
      <c r="B5414" t="s">
        <v>903</v>
      </c>
      <c r="C5414" t="s">
        <v>48</v>
      </c>
      <c r="D5414">
        <v>2018</v>
      </c>
      <c r="E5414" t="s">
        <v>45</v>
      </c>
      <c r="F5414" t="s">
        <v>21</v>
      </c>
      <c r="G5414" t="s">
        <v>15</v>
      </c>
      <c r="H5414" t="s">
        <v>46</v>
      </c>
      <c r="I5414">
        <v>1.3431109E-2</v>
      </c>
      <c r="K5414">
        <v>143.71539999999999</v>
      </c>
      <c r="L5414">
        <v>3</v>
      </c>
    </row>
    <row r="5415" spans="1:12"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
      <c r="A5447" t="s">
        <v>10</v>
      </c>
      <c r="B5447" t="s">
        <v>133</v>
      </c>
      <c r="C5447" t="s">
        <v>48</v>
      </c>
      <c r="D5447">
        <v>2014</v>
      </c>
      <c r="E5447" t="s">
        <v>29</v>
      </c>
      <c r="F5447" t="s">
        <v>21</v>
      </c>
      <c r="G5447" t="s">
        <v>30</v>
      </c>
      <c r="H5447" t="s">
        <v>16</v>
      </c>
      <c r="I5447">
        <v>0</v>
      </c>
      <c r="J5447">
        <v>12.3</v>
      </c>
      <c r="K5447">
        <v>57.356200000000001</v>
      </c>
      <c r="L5447">
        <v>2.8</v>
      </c>
    </row>
    <row r="5448" spans="1:12"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
      <c r="A5452" t="s">
        <v>10</v>
      </c>
      <c r="B5452" t="s">
        <v>480</v>
      </c>
      <c r="C5452" t="s">
        <v>57</v>
      </c>
      <c r="D5452">
        <v>2012</v>
      </c>
      <c r="E5452" t="s">
        <v>13</v>
      </c>
      <c r="F5452" t="s">
        <v>14</v>
      </c>
      <c r="G5452" t="s">
        <v>15</v>
      </c>
      <c r="H5452" t="s">
        <v>16</v>
      </c>
      <c r="I5452">
        <v>0.142759833</v>
      </c>
      <c r="J5452">
        <v>10.5</v>
      </c>
      <c r="K5452">
        <v>159.3578</v>
      </c>
      <c r="L5452">
        <v>2.8</v>
      </c>
    </row>
    <row r="5453" spans="1:12"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904</v>
      </c>
      <c r="C5478" t="s">
        <v>95</v>
      </c>
      <c r="D5478">
        <v>2022</v>
      </c>
      <c r="E5478" t="s">
        <v>20</v>
      </c>
      <c r="F5478" t="s">
        <v>21</v>
      </c>
      <c r="G5478" t="s">
        <v>15</v>
      </c>
      <c r="H5478" t="s">
        <v>22</v>
      </c>
      <c r="I5478">
        <v>0.10444532199999999</v>
      </c>
      <c r="J5478">
        <v>6.63</v>
      </c>
      <c r="K5478">
        <v>167.25</v>
      </c>
      <c r="L5478">
        <v>2.8</v>
      </c>
    </row>
    <row r="5479" spans="1:12"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x14ac:dyDescent="0.3">
      <c r="A5486" t="s">
        <v>10</v>
      </c>
      <c r="B5486" t="s">
        <v>1457</v>
      </c>
      <c r="C5486" t="s">
        <v>57</v>
      </c>
      <c r="D5486">
        <v>2018</v>
      </c>
      <c r="E5486" t="s">
        <v>45</v>
      </c>
      <c r="F5486" t="s">
        <v>21</v>
      </c>
      <c r="G5486" t="s">
        <v>15</v>
      </c>
      <c r="H5486" t="s">
        <v>46</v>
      </c>
      <c r="I5486">
        <v>6.7373081000000001E-2</v>
      </c>
      <c r="K5486">
        <v>258.89879999999999</v>
      </c>
      <c r="L5486">
        <v>2.8</v>
      </c>
    </row>
    <row r="5487" spans="1:12" x14ac:dyDescent="0.3">
      <c r="A5487" t="s">
        <v>10</v>
      </c>
      <c r="B5487" t="s">
        <v>1452</v>
      </c>
      <c r="C5487" t="s">
        <v>28</v>
      </c>
      <c r="D5487">
        <v>2018</v>
      </c>
      <c r="E5487" t="s">
        <v>45</v>
      </c>
      <c r="F5487" t="s">
        <v>21</v>
      </c>
      <c r="G5487" t="s">
        <v>15</v>
      </c>
      <c r="H5487" t="s">
        <v>46</v>
      </c>
      <c r="I5487">
        <v>2.6391403000000001E-2</v>
      </c>
      <c r="K5487">
        <v>92.811999999999998</v>
      </c>
      <c r="L5487">
        <v>2.8</v>
      </c>
    </row>
    <row r="5488" spans="1:12" x14ac:dyDescent="0.3">
      <c r="A5488" t="s">
        <v>10</v>
      </c>
      <c r="B5488" t="s">
        <v>924</v>
      </c>
      <c r="C5488" t="s">
        <v>12</v>
      </c>
      <c r="D5488">
        <v>2018</v>
      </c>
      <c r="E5488" t="s">
        <v>45</v>
      </c>
      <c r="F5488" t="s">
        <v>21</v>
      </c>
      <c r="G5488" t="s">
        <v>15</v>
      </c>
      <c r="H5488" t="s">
        <v>46</v>
      </c>
      <c r="I5488">
        <v>4.9395241999999999E-2</v>
      </c>
      <c r="K5488">
        <v>80.364400000000003</v>
      </c>
      <c r="L5488">
        <v>2.8</v>
      </c>
    </row>
    <row r="5489" spans="1:12"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
      <c r="A5536" t="s">
        <v>10</v>
      </c>
      <c r="B5536" t="s">
        <v>862</v>
      </c>
      <c r="C5536" t="s">
        <v>24</v>
      </c>
      <c r="D5536">
        <v>2012</v>
      </c>
      <c r="E5536" t="s">
        <v>13</v>
      </c>
      <c r="F5536" t="s">
        <v>14</v>
      </c>
      <c r="G5536" t="s">
        <v>15</v>
      </c>
      <c r="H5536" t="s">
        <v>16</v>
      </c>
      <c r="I5536">
        <v>6.2797771000000002E-2</v>
      </c>
      <c r="J5536">
        <v>12.6</v>
      </c>
      <c r="K5536">
        <v>103.999</v>
      </c>
      <c r="L5536">
        <v>2.5</v>
      </c>
    </row>
    <row r="5537" spans="1:12"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1567</v>
      </c>
      <c r="C5551" t="s">
        <v>24</v>
      </c>
      <c r="D5551">
        <v>2015</v>
      </c>
      <c r="E5551" t="s">
        <v>33</v>
      </c>
      <c r="F5551" t="s">
        <v>34</v>
      </c>
      <c r="G5551" t="s">
        <v>30</v>
      </c>
      <c r="H5551" t="s">
        <v>16</v>
      </c>
      <c r="I5551">
        <v>0.121767168</v>
      </c>
      <c r="J5551">
        <v>20.7</v>
      </c>
      <c r="K5551">
        <v>118.9466</v>
      </c>
      <c r="L5551">
        <v>2.5</v>
      </c>
    </row>
    <row r="5552" spans="1:12"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x14ac:dyDescent="0.3">
      <c r="A5608" t="s">
        <v>10</v>
      </c>
      <c r="B5608" t="s">
        <v>734</v>
      </c>
      <c r="C5608" t="s">
        <v>12</v>
      </c>
      <c r="D5608">
        <v>2018</v>
      </c>
      <c r="E5608" t="s">
        <v>45</v>
      </c>
      <c r="F5608" t="s">
        <v>21</v>
      </c>
      <c r="G5608" t="s">
        <v>15</v>
      </c>
      <c r="H5608" t="s">
        <v>46</v>
      </c>
      <c r="I5608">
        <v>0.105812357</v>
      </c>
      <c r="K5608">
        <v>175.03960000000001</v>
      </c>
      <c r="L5608">
        <v>2.2999999999999998</v>
      </c>
    </row>
    <row r="5609" spans="1:12" x14ac:dyDescent="0.3">
      <c r="A5609" t="s">
        <v>10</v>
      </c>
      <c r="B5609" t="s">
        <v>1388</v>
      </c>
      <c r="C5609" t="s">
        <v>48</v>
      </c>
      <c r="D5609">
        <v>2018</v>
      </c>
      <c r="E5609" t="s">
        <v>45</v>
      </c>
      <c r="F5609" t="s">
        <v>21</v>
      </c>
      <c r="G5609" t="s">
        <v>15</v>
      </c>
      <c r="H5609" t="s">
        <v>46</v>
      </c>
      <c r="I5609">
        <v>1.268995E-2</v>
      </c>
      <c r="K5609">
        <v>56.458799999999997</v>
      </c>
      <c r="L5609">
        <v>2.2999999999999998</v>
      </c>
    </row>
    <row r="5610" spans="1:12"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
      <c r="A5622" t="s">
        <v>10</v>
      </c>
      <c r="B5622" t="s">
        <v>1533</v>
      </c>
      <c r="C5622" t="s">
        <v>24</v>
      </c>
      <c r="D5622">
        <v>2018</v>
      </c>
      <c r="E5622" t="s">
        <v>45</v>
      </c>
      <c r="F5622" t="s">
        <v>21</v>
      </c>
      <c r="G5622" t="s">
        <v>15</v>
      </c>
      <c r="H5622" t="s">
        <v>46</v>
      </c>
      <c r="I5622">
        <v>0</v>
      </c>
      <c r="K5622">
        <v>37.050600000000003</v>
      </c>
      <c r="L5622">
        <v>2.1</v>
      </c>
    </row>
    <row r="5623" spans="1:12"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x14ac:dyDescent="0.3">
      <c r="A5640" t="s">
        <v>10</v>
      </c>
      <c r="B5640" t="s">
        <v>595</v>
      </c>
      <c r="C5640" t="s">
        <v>95</v>
      </c>
      <c r="D5640">
        <v>2018</v>
      </c>
      <c r="E5640" t="s">
        <v>138</v>
      </c>
      <c r="F5640" t="s">
        <v>14</v>
      </c>
      <c r="G5640" t="s">
        <v>26</v>
      </c>
      <c r="H5640" t="s">
        <v>40</v>
      </c>
      <c r="I5640">
        <v>0.22460739900000001</v>
      </c>
      <c r="K5640">
        <v>223.1404</v>
      </c>
      <c r="L5640">
        <v>2</v>
      </c>
    </row>
    <row r="5641" spans="1:12" x14ac:dyDescent="0.3">
      <c r="A5641" t="s">
        <v>10</v>
      </c>
      <c r="B5641" t="s">
        <v>582</v>
      </c>
      <c r="C5641" t="s">
        <v>54</v>
      </c>
      <c r="D5641">
        <v>2018</v>
      </c>
      <c r="E5641" t="s">
        <v>138</v>
      </c>
      <c r="F5641" t="s">
        <v>14</v>
      </c>
      <c r="G5641" t="s">
        <v>26</v>
      </c>
      <c r="H5641" t="s">
        <v>40</v>
      </c>
      <c r="I5641">
        <v>2.6420580999999999E-2</v>
      </c>
      <c r="K5641">
        <v>250.9408</v>
      </c>
      <c r="L5641">
        <v>2</v>
      </c>
    </row>
    <row r="5642" spans="1:12"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
      <c r="A5647" t="s">
        <v>10</v>
      </c>
      <c r="B5647" t="s">
        <v>975</v>
      </c>
      <c r="C5647" t="s">
        <v>12</v>
      </c>
      <c r="D5647">
        <v>2016</v>
      </c>
      <c r="E5647" t="s">
        <v>25</v>
      </c>
      <c r="F5647" t="s">
        <v>14</v>
      </c>
      <c r="G5647" t="s">
        <v>26</v>
      </c>
      <c r="H5647" t="s">
        <v>16</v>
      </c>
      <c r="I5647">
        <v>0.12568791700000001</v>
      </c>
      <c r="J5647">
        <v>15.5</v>
      </c>
      <c r="K5647">
        <v>178.2028</v>
      </c>
      <c r="L5647">
        <v>2</v>
      </c>
    </row>
    <row r="5648" spans="1:12"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703</v>
      </c>
      <c r="C5658" t="s">
        <v>12</v>
      </c>
      <c r="D5658">
        <v>2015</v>
      </c>
      <c r="E5658" t="s">
        <v>33</v>
      </c>
      <c r="F5658" t="s">
        <v>34</v>
      </c>
      <c r="G5658" t="s">
        <v>30</v>
      </c>
      <c r="H5658" t="s">
        <v>16</v>
      </c>
      <c r="I5658">
        <v>0</v>
      </c>
      <c r="J5658">
        <v>13.8</v>
      </c>
      <c r="K5658">
        <v>74.301199999999994</v>
      </c>
      <c r="L5658">
        <v>2</v>
      </c>
    </row>
    <row r="5659" spans="1:12"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
      <c r="A5668" t="s">
        <v>10</v>
      </c>
      <c r="B5668" t="s">
        <v>1444</v>
      </c>
      <c r="C5668" t="s">
        <v>54</v>
      </c>
      <c r="D5668">
        <v>2017</v>
      </c>
      <c r="E5668" t="s">
        <v>50</v>
      </c>
      <c r="F5668" t="s">
        <v>34</v>
      </c>
      <c r="G5668" t="s">
        <v>26</v>
      </c>
      <c r="H5668" t="s">
        <v>16</v>
      </c>
      <c r="I5668">
        <v>1.7547957999999999E-2</v>
      </c>
      <c r="J5668">
        <v>16</v>
      </c>
      <c r="K5668">
        <v>48.3718</v>
      </c>
      <c r="L5668">
        <v>2</v>
      </c>
    </row>
    <row r="5669" spans="1:12"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
      <c r="A5690" t="s">
        <v>10</v>
      </c>
      <c r="B5690" t="s">
        <v>1587</v>
      </c>
      <c r="C5690" t="s">
        <v>67</v>
      </c>
      <c r="D5690">
        <v>2022</v>
      </c>
      <c r="E5690" t="s">
        <v>20</v>
      </c>
      <c r="F5690" t="s">
        <v>21</v>
      </c>
      <c r="G5690" t="s">
        <v>15</v>
      </c>
      <c r="H5690" t="s">
        <v>22</v>
      </c>
      <c r="I5690">
        <v>0</v>
      </c>
      <c r="J5690">
        <v>7.8550000000000004</v>
      </c>
      <c r="K5690">
        <v>220.1482</v>
      </c>
      <c r="L5690">
        <v>2</v>
      </c>
    </row>
    <row r="5691" spans="1:12"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x14ac:dyDescent="0.3">
      <c r="A5732" t="s">
        <v>10</v>
      </c>
      <c r="B5732" t="s">
        <v>726</v>
      </c>
      <c r="C5732" t="s">
        <v>28</v>
      </c>
      <c r="D5732">
        <v>2017</v>
      </c>
      <c r="E5732" t="s">
        <v>50</v>
      </c>
      <c r="F5732" t="s">
        <v>34</v>
      </c>
      <c r="G5732" t="s">
        <v>26</v>
      </c>
      <c r="H5732" t="s">
        <v>16</v>
      </c>
      <c r="I5732">
        <v>8.3498083000000001E-2</v>
      </c>
      <c r="J5732">
        <v>13</v>
      </c>
      <c r="K5732">
        <v>199.4426</v>
      </c>
      <c r="L5732">
        <v>1</v>
      </c>
    </row>
    <row r="5733" spans="1:12"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x14ac:dyDescent="0.3">
      <c r="A5750" t="s">
        <v>10</v>
      </c>
      <c r="B5750" t="s">
        <v>1544</v>
      </c>
      <c r="C5750" t="s">
        <v>95</v>
      </c>
      <c r="D5750">
        <v>2018</v>
      </c>
      <c r="E5750" t="s">
        <v>138</v>
      </c>
      <c r="F5750" t="s">
        <v>14</v>
      </c>
      <c r="G5750" t="s">
        <v>26</v>
      </c>
      <c r="H5750" t="s">
        <v>40</v>
      </c>
      <c r="I5750">
        <v>0.14136011800000001</v>
      </c>
      <c r="K5750">
        <v>197.31100000000001</v>
      </c>
      <c r="L5750">
        <v>1</v>
      </c>
    </row>
    <row r="5751" spans="1:12"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122</v>
      </c>
      <c r="C5763" t="s">
        <v>57</v>
      </c>
      <c r="D5763">
        <v>2016</v>
      </c>
      <c r="E5763" t="s">
        <v>25</v>
      </c>
      <c r="F5763" t="s">
        <v>14</v>
      </c>
      <c r="G5763" t="s">
        <v>26</v>
      </c>
      <c r="H5763" t="s">
        <v>16</v>
      </c>
      <c r="I5763">
        <v>3.0264896999999999E-2</v>
      </c>
      <c r="J5763">
        <v>8</v>
      </c>
      <c r="K5763">
        <v>250.3092</v>
      </c>
      <c r="L5763">
        <v>1</v>
      </c>
    </row>
    <row r="5764" spans="1:12"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
      <c r="A5779" t="s">
        <v>10</v>
      </c>
      <c r="B5779" t="s">
        <v>85</v>
      </c>
      <c r="C5779" t="s">
        <v>67</v>
      </c>
      <c r="D5779">
        <v>2015</v>
      </c>
      <c r="E5779" t="s">
        <v>33</v>
      </c>
      <c r="F5779" t="s">
        <v>34</v>
      </c>
      <c r="G5779" t="s">
        <v>30</v>
      </c>
      <c r="H5779" t="s">
        <v>16</v>
      </c>
      <c r="I5779">
        <v>0.108458498</v>
      </c>
      <c r="J5779">
        <v>6.75</v>
      </c>
      <c r="K5779">
        <v>96.975200000000001</v>
      </c>
      <c r="L5779">
        <v>1</v>
      </c>
    </row>
    <row r="5780" spans="1:12" x14ac:dyDescent="0.3">
      <c r="A5780" t="s">
        <v>10</v>
      </c>
      <c r="B5780" t="s">
        <v>192</v>
      </c>
      <c r="C5780" t="s">
        <v>153</v>
      </c>
      <c r="D5780">
        <v>2015</v>
      </c>
      <c r="E5780" t="s">
        <v>33</v>
      </c>
      <c r="F5780" t="s">
        <v>34</v>
      </c>
      <c r="G5780" t="s">
        <v>30</v>
      </c>
      <c r="H5780" t="s">
        <v>16</v>
      </c>
      <c r="I5780">
        <v>2.1617397E-2</v>
      </c>
      <c r="J5780">
        <v>7.42</v>
      </c>
      <c r="K5780">
        <v>185.0582</v>
      </c>
      <c r="L5780">
        <v>1</v>
      </c>
    </row>
    <row r="5781" spans="1:12"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
      <c r="A5809" t="s">
        <v>10</v>
      </c>
      <c r="B5809" t="s">
        <v>696</v>
      </c>
      <c r="C5809" t="s">
        <v>74</v>
      </c>
      <c r="D5809">
        <v>2011</v>
      </c>
      <c r="E5809" t="s">
        <v>39</v>
      </c>
      <c r="F5809" t="s">
        <v>21</v>
      </c>
      <c r="G5809" t="s">
        <v>30</v>
      </c>
      <c r="H5809" t="s">
        <v>40</v>
      </c>
      <c r="I5809">
        <v>0.110888167</v>
      </c>
      <c r="J5809">
        <v>16.5</v>
      </c>
      <c r="K5809">
        <v>181.6292</v>
      </c>
      <c r="L5809">
        <v>1</v>
      </c>
    </row>
    <row r="5810" spans="1:12"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734</v>
      </c>
      <c r="C5811" t="s">
        <v>12</v>
      </c>
      <c r="D5811">
        <v>2011</v>
      </c>
      <c r="E5811" t="s">
        <v>39</v>
      </c>
      <c r="F5811" t="s">
        <v>21</v>
      </c>
      <c r="G5811" t="s">
        <v>30</v>
      </c>
      <c r="H5811" t="s">
        <v>40</v>
      </c>
      <c r="I5811">
        <v>0.17797002000000001</v>
      </c>
      <c r="J5811">
        <v>12.3</v>
      </c>
      <c r="K5811">
        <v>173.1396</v>
      </c>
      <c r="L5811">
        <v>1</v>
      </c>
    </row>
    <row r="5812" spans="1:12"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936</v>
      </c>
      <c r="C5818" t="s">
        <v>57</v>
      </c>
      <c r="D5818">
        <v>2014</v>
      </c>
      <c r="E5818" t="s">
        <v>29</v>
      </c>
      <c r="F5818" t="s">
        <v>21</v>
      </c>
      <c r="G5818" t="s">
        <v>30</v>
      </c>
      <c r="H5818" t="s">
        <v>16</v>
      </c>
      <c r="I5818">
        <v>4.3856919000000001E-2</v>
      </c>
      <c r="J5818">
        <v>14.8</v>
      </c>
      <c r="K5818">
        <v>109.057</v>
      </c>
      <c r="L5818">
        <v>1</v>
      </c>
    </row>
    <row r="5819" spans="1:12"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x14ac:dyDescent="0.3">
      <c r="A5837" t="s">
        <v>10</v>
      </c>
      <c r="B5837" t="s">
        <v>1047</v>
      </c>
      <c r="C5837" t="s">
        <v>57</v>
      </c>
      <c r="D5837">
        <v>2018</v>
      </c>
      <c r="E5837" t="s">
        <v>45</v>
      </c>
      <c r="F5837" t="s">
        <v>21</v>
      </c>
      <c r="G5837" t="s">
        <v>15</v>
      </c>
      <c r="H5837" t="s">
        <v>46</v>
      </c>
      <c r="I5837">
        <v>6.3554289E-2</v>
      </c>
      <c r="K5837">
        <v>263.65940000000001</v>
      </c>
      <c r="L5837">
        <v>1</v>
      </c>
    </row>
    <row r="5838" spans="1:12" x14ac:dyDescent="0.3">
      <c r="A5838" t="s">
        <v>10</v>
      </c>
      <c r="B5838" t="s">
        <v>190</v>
      </c>
      <c r="C5838" t="s">
        <v>24</v>
      </c>
      <c r="D5838">
        <v>2018</v>
      </c>
      <c r="E5838" t="s">
        <v>45</v>
      </c>
      <c r="F5838" t="s">
        <v>21</v>
      </c>
      <c r="G5838" t="s">
        <v>15</v>
      </c>
      <c r="H5838" t="s">
        <v>46</v>
      </c>
      <c r="I5838">
        <v>4.1370245E-2</v>
      </c>
      <c r="K5838">
        <v>46.2376</v>
      </c>
      <c r="L5838">
        <v>1</v>
      </c>
    </row>
    <row r="5839" spans="1:12" x14ac:dyDescent="0.3">
      <c r="A5839" t="s">
        <v>10</v>
      </c>
      <c r="B5839" t="s">
        <v>1158</v>
      </c>
      <c r="C5839" t="s">
        <v>12</v>
      </c>
      <c r="D5839">
        <v>2018</v>
      </c>
      <c r="E5839" t="s">
        <v>45</v>
      </c>
      <c r="F5839" t="s">
        <v>21</v>
      </c>
      <c r="G5839" t="s">
        <v>15</v>
      </c>
      <c r="H5839" t="s">
        <v>46</v>
      </c>
      <c r="I5839">
        <v>0</v>
      </c>
      <c r="K5839">
        <v>120.5072</v>
      </c>
      <c r="L5839">
        <v>1</v>
      </c>
    </row>
    <row r="5840" spans="1:12"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x14ac:dyDescent="0.3">
      <c r="A5850" t="s">
        <v>10</v>
      </c>
      <c r="B5850" t="s">
        <v>1331</v>
      </c>
      <c r="C5850" t="s">
        <v>95</v>
      </c>
      <c r="D5850">
        <v>2018</v>
      </c>
      <c r="E5850" t="s">
        <v>45</v>
      </c>
      <c r="F5850" t="s">
        <v>21</v>
      </c>
      <c r="G5850" t="s">
        <v>15</v>
      </c>
      <c r="H5850" t="s">
        <v>46</v>
      </c>
      <c r="I5850">
        <v>3.1382043999999998E-2</v>
      </c>
      <c r="K5850">
        <v>171.37639999999999</v>
      </c>
      <c r="L5850">
        <v>4</v>
      </c>
    </row>
    <row r="5851" spans="1:12"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1101</v>
      </c>
      <c r="C5857" t="s">
        <v>48</v>
      </c>
      <c r="D5857">
        <v>2018</v>
      </c>
      <c r="E5857" t="s">
        <v>45</v>
      </c>
      <c r="F5857" t="s">
        <v>21</v>
      </c>
      <c r="G5857" t="s">
        <v>15</v>
      </c>
      <c r="H5857" t="s">
        <v>46</v>
      </c>
      <c r="I5857">
        <v>4.5797828999999998E-2</v>
      </c>
      <c r="K5857">
        <v>178.53440000000001</v>
      </c>
      <c r="L5857">
        <v>4</v>
      </c>
    </row>
    <row r="5858" spans="1:12"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
      <c r="A5881" t="s">
        <v>10</v>
      </c>
      <c r="B5881" t="s">
        <v>1015</v>
      </c>
      <c r="C5881" t="s">
        <v>32</v>
      </c>
      <c r="D5881">
        <v>2018</v>
      </c>
      <c r="E5881" t="s">
        <v>138</v>
      </c>
      <c r="F5881" t="s">
        <v>14</v>
      </c>
      <c r="G5881" t="s">
        <v>26</v>
      </c>
      <c r="H5881" t="s">
        <v>40</v>
      </c>
      <c r="I5881">
        <v>0.191013663</v>
      </c>
      <c r="K5881">
        <v>42.111199999999997</v>
      </c>
      <c r="L5881">
        <v>4</v>
      </c>
    </row>
    <row r="5882" spans="1:12" x14ac:dyDescent="0.3">
      <c r="A5882" t="s">
        <v>10</v>
      </c>
      <c r="B5882" t="s">
        <v>1052</v>
      </c>
      <c r="C5882" t="s">
        <v>24</v>
      </c>
      <c r="D5882">
        <v>2018</v>
      </c>
      <c r="E5882" t="s">
        <v>45</v>
      </c>
      <c r="F5882" t="s">
        <v>21</v>
      </c>
      <c r="G5882" t="s">
        <v>15</v>
      </c>
      <c r="H5882" t="s">
        <v>46</v>
      </c>
      <c r="I5882">
        <v>6.0134440999999997E-2</v>
      </c>
      <c r="K5882">
        <v>153.06559999999999</v>
      </c>
      <c r="L5882">
        <v>4</v>
      </c>
    </row>
    <row r="5883" spans="1:12" x14ac:dyDescent="0.3">
      <c r="A5883" t="s">
        <v>10</v>
      </c>
      <c r="B5883" t="s">
        <v>698</v>
      </c>
      <c r="C5883" t="s">
        <v>67</v>
      </c>
      <c r="D5883">
        <v>2014</v>
      </c>
      <c r="E5883" t="s">
        <v>29</v>
      </c>
      <c r="F5883" t="s">
        <v>21</v>
      </c>
      <c r="G5883" t="s">
        <v>30</v>
      </c>
      <c r="H5883" t="s">
        <v>16</v>
      </c>
      <c r="I5883">
        <v>7.5107655999999995E-2</v>
      </c>
      <c r="J5883">
        <v>5.75</v>
      </c>
      <c r="K5883">
        <v>112.8176</v>
      </c>
      <c r="L5883">
        <v>4</v>
      </c>
    </row>
    <row r="5884" spans="1:12" x14ac:dyDescent="0.3">
      <c r="A5884" t="s">
        <v>10</v>
      </c>
      <c r="B5884" t="s">
        <v>723</v>
      </c>
      <c r="C5884" t="s">
        <v>95</v>
      </c>
      <c r="D5884">
        <v>2018</v>
      </c>
      <c r="E5884" t="s">
        <v>45</v>
      </c>
      <c r="F5884" t="s">
        <v>21</v>
      </c>
      <c r="G5884" t="s">
        <v>15</v>
      </c>
      <c r="H5884" t="s">
        <v>46</v>
      </c>
      <c r="I5884">
        <v>4.9381406000000003E-2</v>
      </c>
      <c r="K5884">
        <v>226.80619999999999</v>
      </c>
      <c r="L5884">
        <v>4</v>
      </c>
    </row>
    <row r="5885" spans="1:12"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x14ac:dyDescent="0.3">
      <c r="A5896" t="s">
        <v>10</v>
      </c>
      <c r="B5896" t="s">
        <v>1119</v>
      </c>
      <c r="C5896" t="s">
        <v>95</v>
      </c>
      <c r="D5896">
        <v>2012</v>
      </c>
      <c r="E5896" t="s">
        <v>13</v>
      </c>
      <c r="F5896" t="s">
        <v>14</v>
      </c>
      <c r="G5896" t="s">
        <v>15</v>
      </c>
      <c r="H5896" t="s">
        <v>16</v>
      </c>
      <c r="I5896">
        <v>0.13370075200000001</v>
      </c>
      <c r="J5896">
        <v>4.88</v>
      </c>
      <c r="K5896">
        <v>52.9298</v>
      </c>
      <c r="L5896">
        <v>4</v>
      </c>
    </row>
    <row r="5897" spans="1:12"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
      <c r="A5927" t="s">
        <v>10</v>
      </c>
      <c r="B5927" t="s">
        <v>394</v>
      </c>
      <c r="C5927" t="s">
        <v>28</v>
      </c>
      <c r="D5927">
        <v>2018</v>
      </c>
      <c r="E5927" t="s">
        <v>45</v>
      </c>
      <c r="F5927" t="s">
        <v>21</v>
      </c>
      <c r="G5927" t="s">
        <v>15</v>
      </c>
      <c r="H5927" t="s">
        <v>46</v>
      </c>
      <c r="I5927">
        <v>2.9943463E-2</v>
      </c>
      <c r="K5927">
        <v>60.222000000000001</v>
      </c>
      <c r="L5927">
        <v>4</v>
      </c>
    </row>
    <row r="5928" spans="1:12"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
      <c r="A5952" t="s">
        <v>10</v>
      </c>
      <c r="B5952" t="s">
        <v>939</v>
      </c>
      <c r="C5952" t="s">
        <v>24</v>
      </c>
      <c r="D5952">
        <v>2017</v>
      </c>
      <c r="E5952" t="s">
        <v>50</v>
      </c>
      <c r="F5952" t="s">
        <v>34</v>
      </c>
      <c r="G5952" t="s">
        <v>26</v>
      </c>
      <c r="H5952" t="s">
        <v>16</v>
      </c>
      <c r="I5952">
        <v>0</v>
      </c>
      <c r="J5952">
        <v>7.47</v>
      </c>
      <c r="K5952">
        <v>214.3218</v>
      </c>
      <c r="L5952">
        <v>4</v>
      </c>
    </row>
    <row r="5953" spans="1:12"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
      <c r="A5984" t="s">
        <v>10</v>
      </c>
      <c r="B5984" t="s">
        <v>1533</v>
      </c>
      <c r="C5984" t="s">
        <v>24</v>
      </c>
      <c r="D5984">
        <v>2018</v>
      </c>
      <c r="E5984" t="s">
        <v>138</v>
      </c>
      <c r="F5984" t="s">
        <v>14</v>
      </c>
      <c r="G5984" t="s">
        <v>26</v>
      </c>
      <c r="H5984" t="s">
        <v>40</v>
      </c>
      <c r="I5984">
        <v>0.19265007200000001</v>
      </c>
      <c r="K5984">
        <v>37.450600000000001</v>
      </c>
      <c r="L5984">
        <v>4</v>
      </c>
    </row>
    <row r="5985" spans="1:12"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155</v>
      </c>
      <c r="C6046" t="s">
        <v>28</v>
      </c>
      <c r="D6046">
        <v>2012</v>
      </c>
      <c r="E6046" t="s">
        <v>13</v>
      </c>
      <c r="F6046" t="s">
        <v>14</v>
      </c>
      <c r="G6046" t="s">
        <v>15</v>
      </c>
      <c r="H6046" t="s">
        <v>16</v>
      </c>
      <c r="I6046">
        <v>0.104245198</v>
      </c>
      <c r="J6046">
        <v>20</v>
      </c>
      <c r="K6046">
        <v>105.3622</v>
      </c>
      <c r="L6046">
        <v>4</v>
      </c>
    </row>
    <row r="6047" spans="1:12" x14ac:dyDescent="0.3">
      <c r="A6047" t="s">
        <v>10</v>
      </c>
      <c r="B6047" t="s">
        <v>401</v>
      </c>
      <c r="C6047" t="s">
        <v>54</v>
      </c>
      <c r="D6047">
        <v>2018</v>
      </c>
      <c r="E6047" t="s">
        <v>45</v>
      </c>
      <c r="F6047" t="s">
        <v>21</v>
      </c>
      <c r="G6047" t="s">
        <v>15</v>
      </c>
      <c r="H6047" t="s">
        <v>46</v>
      </c>
      <c r="I6047">
        <v>4.1779180999999999E-2</v>
      </c>
      <c r="K6047">
        <v>43.411200000000001</v>
      </c>
      <c r="L6047">
        <v>4</v>
      </c>
    </row>
    <row r="6048" spans="1:12"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338</v>
      </c>
      <c r="C6066" t="s">
        <v>67</v>
      </c>
      <c r="D6066">
        <v>2018</v>
      </c>
      <c r="E6066" t="s">
        <v>45</v>
      </c>
      <c r="F6066" t="s">
        <v>21</v>
      </c>
      <c r="G6066" t="s">
        <v>15</v>
      </c>
      <c r="H6066" t="s">
        <v>46</v>
      </c>
      <c r="I6066">
        <v>4.5243613000000002E-2</v>
      </c>
      <c r="K6066">
        <v>146.81020000000001</v>
      </c>
      <c r="L6066">
        <v>4</v>
      </c>
    </row>
    <row r="6067" spans="1:12"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
      <c r="A6077" t="s">
        <v>10</v>
      </c>
      <c r="B6077" t="s">
        <v>1026</v>
      </c>
      <c r="C6077" t="s">
        <v>12</v>
      </c>
      <c r="D6077">
        <v>2017</v>
      </c>
      <c r="E6077" t="s">
        <v>50</v>
      </c>
      <c r="F6077" t="s">
        <v>34</v>
      </c>
      <c r="G6077" t="s">
        <v>26</v>
      </c>
      <c r="H6077" t="s">
        <v>16</v>
      </c>
      <c r="I6077">
        <v>0.165328057</v>
      </c>
      <c r="J6077">
        <v>13.15</v>
      </c>
      <c r="K6077">
        <v>170.6764</v>
      </c>
      <c r="L6077">
        <v>4</v>
      </c>
    </row>
    <row r="6078" spans="1:12"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x14ac:dyDescent="0.3">
      <c r="A6139" t="s">
        <v>10</v>
      </c>
      <c r="B6139" t="s">
        <v>600</v>
      </c>
      <c r="C6139" t="s">
        <v>48</v>
      </c>
      <c r="D6139">
        <v>2018</v>
      </c>
      <c r="E6139" t="s">
        <v>45</v>
      </c>
      <c r="F6139" t="s">
        <v>21</v>
      </c>
      <c r="G6139" t="s">
        <v>15</v>
      </c>
      <c r="H6139" t="s">
        <v>46</v>
      </c>
      <c r="I6139">
        <v>6.5577448999999996E-2</v>
      </c>
      <c r="K6139">
        <v>181.76599999999999</v>
      </c>
      <c r="L6139">
        <v>4</v>
      </c>
    </row>
    <row r="6140" spans="1:12"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
      <c r="A6141" t="s">
        <v>10</v>
      </c>
      <c r="B6141" t="s">
        <v>136</v>
      </c>
      <c r="C6141" t="s">
        <v>67</v>
      </c>
      <c r="D6141">
        <v>2016</v>
      </c>
      <c r="E6141" t="s">
        <v>25</v>
      </c>
      <c r="F6141" t="s">
        <v>14</v>
      </c>
      <c r="G6141" t="s">
        <v>26</v>
      </c>
      <c r="H6141" t="s">
        <v>16</v>
      </c>
      <c r="I6141">
        <v>0.11411709</v>
      </c>
      <c r="J6141">
        <v>20.7</v>
      </c>
      <c r="K6141">
        <v>92.743600000000001</v>
      </c>
      <c r="L6141">
        <v>4</v>
      </c>
    </row>
    <row r="6142" spans="1:12"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
      <c r="A6152" t="s">
        <v>10</v>
      </c>
      <c r="B6152" t="s">
        <v>1295</v>
      </c>
      <c r="C6152" t="s">
        <v>12</v>
      </c>
      <c r="D6152">
        <v>2018</v>
      </c>
      <c r="E6152" t="s">
        <v>45</v>
      </c>
      <c r="F6152" t="s">
        <v>21</v>
      </c>
      <c r="G6152" t="s">
        <v>15</v>
      </c>
      <c r="H6152" t="s">
        <v>46</v>
      </c>
      <c r="I6152">
        <v>0.15528831000000001</v>
      </c>
      <c r="K6152">
        <v>241.75380000000001</v>
      </c>
      <c r="L6152">
        <v>4</v>
      </c>
    </row>
    <row r="6153" spans="1:12"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
      <c r="A6338" t="s">
        <v>10</v>
      </c>
      <c r="B6338" t="s">
        <v>904</v>
      </c>
      <c r="C6338" t="s">
        <v>95</v>
      </c>
      <c r="D6338">
        <v>2012</v>
      </c>
      <c r="E6338" t="s">
        <v>13</v>
      </c>
      <c r="F6338" t="s">
        <v>14</v>
      </c>
      <c r="G6338" t="s">
        <v>15</v>
      </c>
      <c r="H6338" t="s">
        <v>16</v>
      </c>
      <c r="I6338">
        <v>0.104183308</v>
      </c>
      <c r="J6338">
        <v>6.63</v>
      </c>
      <c r="K6338">
        <v>166.15</v>
      </c>
      <c r="L6338">
        <v>4</v>
      </c>
    </row>
    <row r="6339" spans="1:12" x14ac:dyDescent="0.3">
      <c r="A6339" t="s">
        <v>10</v>
      </c>
      <c r="B6339" t="s">
        <v>436</v>
      </c>
      <c r="C6339" t="s">
        <v>95</v>
      </c>
      <c r="D6339">
        <v>2012</v>
      </c>
      <c r="E6339" t="s">
        <v>13</v>
      </c>
      <c r="F6339" t="s">
        <v>14</v>
      </c>
      <c r="G6339" t="s">
        <v>15</v>
      </c>
      <c r="H6339" t="s">
        <v>16</v>
      </c>
      <c r="I6339">
        <v>2.960641E-2</v>
      </c>
      <c r="J6339">
        <v>6.71</v>
      </c>
      <c r="K6339">
        <v>65.414199999999994</v>
      </c>
      <c r="L6339">
        <v>4</v>
      </c>
    </row>
    <row r="6340" spans="1:12"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x14ac:dyDescent="0.3">
      <c r="A6347" t="s">
        <v>10</v>
      </c>
      <c r="B6347" t="s">
        <v>1090</v>
      </c>
      <c r="C6347" t="s">
        <v>57</v>
      </c>
      <c r="D6347">
        <v>2012</v>
      </c>
      <c r="E6347" t="s">
        <v>13</v>
      </c>
      <c r="F6347" t="s">
        <v>14</v>
      </c>
      <c r="G6347" t="s">
        <v>15</v>
      </c>
      <c r="H6347" t="s">
        <v>16</v>
      </c>
      <c r="I6347">
        <v>0</v>
      </c>
      <c r="J6347">
        <v>8.6</v>
      </c>
      <c r="K6347">
        <v>131.53100000000001</v>
      </c>
      <c r="L6347">
        <v>4</v>
      </c>
    </row>
    <row r="6348" spans="1:12"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1269</v>
      </c>
      <c r="C6353" t="s">
        <v>28</v>
      </c>
      <c r="D6353">
        <v>2012</v>
      </c>
      <c r="E6353" t="s">
        <v>13</v>
      </c>
      <c r="F6353" t="s">
        <v>14</v>
      </c>
      <c r="G6353" t="s">
        <v>15</v>
      </c>
      <c r="H6353" t="s">
        <v>16</v>
      </c>
      <c r="I6353">
        <v>1.4649641E-2</v>
      </c>
      <c r="J6353">
        <v>13.35</v>
      </c>
      <c r="K6353">
        <v>207.3638</v>
      </c>
      <c r="L6353">
        <v>4</v>
      </c>
    </row>
    <row r="6354" spans="1:12"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x14ac:dyDescent="0.3">
      <c r="A6355" t="s">
        <v>10</v>
      </c>
      <c r="B6355" t="s">
        <v>698</v>
      </c>
      <c r="C6355" t="s">
        <v>67</v>
      </c>
      <c r="D6355">
        <v>2012</v>
      </c>
      <c r="E6355" t="s">
        <v>13</v>
      </c>
      <c r="F6355" t="s">
        <v>14</v>
      </c>
      <c r="G6355" t="s">
        <v>15</v>
      </c>
      <c r="H6355" t="s">
        <v>16</v>
      </c>
      <c r="I6355">
        <v>7.5287081000000006E-2</v>
      </c>
      <c r="J6355">
        <v>5.75</v>
      </c>
      <c r="K6355">
        <v>115.3176</v>
      </c>
      <c r="L6355">
        <v>4</v>
      </c>
    </row>
    <row r="6356" spans="1:12"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
      <c r="A6358" t="s">
        <v>10</v>
      </c>
      <c r="B6358" t="s">
        <v>1120</v>
      </c>
      <c r="C6358" t="s">
        <v>67</v>
      </c>
      <c r="D6358">
        <v>2012</v>
      </c>
      <c r="E6358" t="s">
        <v>13</v>
      </c>
      <c r="F6358" t="s">
        <v>14</v>
      </c>
      <c r="G6358" t="s">
        <v>15</v>
      </c>
      <c r="H6358" t="s">
        <v>16</v>
      </c>
      <c r="I6358">
        <v>0</v>
      </c>
      <c r="J6358">
        <v>13.5</v>
      </c>
      <c r="K6358">
        <v>57.856200000000001</v>
      </c>
      <c r="L6358">
        <v>4</v>
      </c>
    </row>
    <row r="6359" spans="1:12" x14ac:dyDescent="0.3">
      <c r="A6359" t="s">
        <v>10</v>
      </c>
      <c r="B6359" t="s">
        <v>825</v>
      </c>
      <c r="C6359" t="s">
        <v>67</v>
      </c>
      <c r="D6359">
        <v>2012</v>
      </c>
      <c r="E6359" t="s">
        <v>13</v>
      </c>
      <c r="F6359" t="s">
        <v>14</v>
      </c>
      <c r="G6359" t="s">
        <v>15</v>
      </c>
      <c r="H6359" t="s">
        <v>16</v>
      </c>
      <c r="I6359">
        <v>0.11936171800000001</v>
      </c>
      <c r="J6359">
        <v>13.6</v>
      </c>
      <c r="K6359">
        <v>231.63</v>
      </c>
      <c r="L6359">
        <v>4</v>
      </c>
    </row>
    <row r="6360" spans="1:12"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
      <c r="A6362" t="s">
        <v>10</v>
      </c>
      <c r="B6362" t="s">
        <v>397</v>
      </c>
      <c r="C6362" t="s">
        <v>67</v>
      </c>
      <c r="D6362">
        <v>2012</v>
      </c>
      <c r="E6362" t="s">
        <v>13</v>
      </c>
      <c r="F6362" t="s">
        <v>14</v>
      </c>
      <c r="G6362" t="s">
        <v>15</v>
      </c>
      <c r="H6362" t="s">
        <v>16</v>
      </c>
      <c r="I6362">
        <v>0.18357985399999999</v>
      </c>
      <c r="J6362">
        <v>18.25</v>
      </c>
      <c r="K6362">
        <v>110.857</v>
      </c>
      <c r="L6362">
        <v>4</v>
      </c>
    </row>
    <row r="6363" spans="1:12"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1415</v>
      </c>
      <c r="C6369" t="s">
        <v>24</v>
      </c>
      <c r="D6369">
        <v>2012</v>
      </c>
      <c r="E6369" t="s">
        <v>13</v>
      </c>
      <c r="F6369" t="s">
        <v>14</v>
      </c>
      <c r="G6369" t="s">
        <v>15</v>
      </c>
      <c r="H6369" t="s">
        <v>16</v>
      </c>
      <c r="I6369">
        <v>0</v>
      </c>
      <c r="J6369">
        <v>11</v>
      </c>
      <c r="K6369">
        <v>155.26300000000001</v>
      </c>
      <c r="L6369">
        <v>4</v>
      </c>
    </row>
    <row r="6370" spans="1:12"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1567</v>
      </c>
      <c r="C6372" t="s">
        <v>24</v>
      </c>
      <c r="D6372">
        <v>2012</v>
      </c>
      <c r="E6372" t="s">
        <v>13</v>
      </c>
      <c r="F6372" t="s">
        <v>14</v>
      </c>
      <c r="G6372" t="s">
        <v>15</v>
      </c>
      <c r="H6372" t="s">
        <v>16</v>
      </c>
      <c r="I6372">
        <v>0.121709653</v>
      </c>
      <c r="J6372">
        <v>20.7</v>
      </c>
      <c r="K6372">
        <v>119.7466</v>
      </c>
      <c r="L6372">
        <v>4</v>
      </c>
    </row>
    <row r="6373" spans="1:12"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360</v>
      </c>
      <c r="C6377" t="s">
        <v>12</v>
      </c>
      <c r="D6377">
        <v>2012</v>
      </c>
      <c r="E6377" t="s">
        <v>13</v>
      </c>
      <c r="F6377" t="s">
        <v>14</v>
      </c>
      <c r="G6377" t="s">
        <v>15</v>
      </c>
      <c r="H6377" t="s">
        <v>16</v>
      </c>
      <c r="I6377">
        <v>3.0616757000000001E-2</v>
      </c>
      <c r="J6377">
        <v>10.3</v>
      </c>
      <c r="K6377">
        <v>112.7176</v>
      </c>
      <c r="L6377">
        <v>4</v>
      </c>
    </row>
    <row r="6378" spans="1:12"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985</v>
      </c>
      <c r="C6380" t="s">
        <v>12</v>
      </c>
      <c r="D6380">
        <v>2012</v>
      </c>
      <c r="E6380" t="s">
        <v>13</v>
      </c>
      <c r="F6380" t="s">
        <v>14</v>
      </c>
      <c r="G6380" t="s">
        <v>15</v>
      </c>
      <c r="H6380" t="s">
        <v>16</v>
      </c>
      <c r="I6380">
        <v>2.6342897000000001E-2</v>
      </c>
      <c r="J6380">
        <v>15.5</v>
      </c>
      <c r="K6380">
        <v>104.1332</v>
      </c>
      <c r="L6380">
        <v>4</v>
      </c>
    </row>
    <row r="6381" spans="1:12"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1055</v>
      </c>
      <c r="C6385" t="s">
        <v>12</v>
      </c>
      <c r="D6385">
        <v>2012</v>
      </c>
      <c r="E6385" t="s">
        <v>13</v>
      </c>
      <c r="F6385" t="s">
        <v>14</v>
      </c>
      <c r="G6385" t="s">
        <v>15</v>
      </c>
      <c r="H6385" t="s">
        <v>16</v>
      </c>
      <c r="I6385">
        <v>0.10361083</v>
      </c>
      <c r="J6385">
        <v>19</v>
      </c>
      <c r="K6385">
        <v>228.37200000000001</v>
      </c>
      <c r="L6385">
        <v>4</v>
      </c>
    </row>
    <row r="6386" spans="1:12" x14ac:dyDescent="0.3">
      <c r="A6386" t="s">
        <v>10</v>
      </c>
      <c r="B6386" t="s">
        <v>1484</v>
      </c>
      <c r="C6386" t="s">
        <v>12</v>
      </c>
      <c r="D6386">
        <v>2012</v>
      </c>
      <c r="E6386" t="s">
        <v>13</v>
      </c>
      <c r="F6386" t="s">
        <v>14</v>
      </c>
      <c r="G6386" t="s">
        <v>15</v>
      </c>
      <c r="H6386" t="s">
        <v>16</v>
      </c>
      <c r="I6386">
        <v>2.2954444000000001E-2</v>
      </c>
      <c r="J6386">
        <v>19.2</v>
      </c>
      <c r="K6386">
        <v>184.495</v>
      </c>
      <c r="L6386">
        <v>4</v>
      </c>
    </row>
    <row r="6387" spans="1:12" x14ac:dyDescent="0.3">
      <c r="A6387" t="s">
        <v>10</v>
      </c>
      <c r="B6387" t="s">
        <v>1469</v>
      </c>
      <c r="C6387" t="s">
        <v>12</v>
      </c>
      <c r="D6387">
        <v>2012</v>
      </c>
      <c r="E6387" t="s">
        <v>13</v>
      </c>
      <c r="F6387" t="s">
        <v>14</v>
      </c>
      <c r="G6387" t="s">
        <v>15</v>
      </c>
      <c r="H6387" t="s">
        <v>16</v>
      </c>
      <c r="I6387">
        <v>0.11258481300000001</v>
      </c>
      <c r="J6387">
        <v>20.5</v>
      </c>
      <c r="K6387">
        <v>192.0478</v>
      </c>
      <c r="L6387">
        <v>4</v>
      </c>
    </row>
    <row r="6388" spans="1:12"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
      <c r="A6394" t="s">
        <v>10</v>
      </c>
      <c r="B6394" t="s">
        <v>570</v>
      </c>
      <c r="C6394" t="s">
        <v>54</v>
      </c>
      <c r="D6394">
        <v>2012</v>
      </c>
      <c r="E6394" t="s">
        <v>13</v>
      </c>
      <c r="F6394" t="s">
        <v>14</v>
      </c>
      <c r="G6394" t="s">
        <v>15</v>
      </c>
      <c r="H6394" t="s">
        <v>16</v>
      </c>
      <c r="I6394">
        <v>0.122065518</v>
      </c>
      <c r="J6394">
        <v>17.7</v>
      </c>
      <c r="K6394">
        <v>103.3674</v>
      </c>
      <c r="L6394">
        <v>4</v>
      </c>
    </row>
    <row r="6395" spans="1:12"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1339</v>
      </c>
      <c r="C6401" t="s">
        <v>48</v>
      </c>
      <c r="D6401">
        <v>2012</v>
      </c>
      <c r="E6401" t="s">
        <v>13</v>
      </c>
      <c r="F6401" t="s">
        <v>14</v>
      </c>
      <c r="G6401" t="s">
        <v>15</v>
      </c>
      <c r="H6401" t="s">
        <v>16</v>
      </c>
      <c r="I6401">
        <v>4.5763062E-2</v>
      </c>
      <c r="J6401">
        <v>10.1</v>
      </c>
      <c r="K6401">
        <v>38.4848</v>
      </c>
      <c r="L6401">
        <v>4</v>
      </c>
    </row>
    <row r="6402" spans="1:12" x14ac:dyDescent="0.3">
      <c r="A6402" t="s">
        <v>10</v>
      </c>
      <c r="B6402" t="s">
        <v>1602</v>
      </c>
      <c r="C6402" t="s">
        <v>48</v>
      </c>
      <c r="D6402">
        <v>2012</v>
      </c>
      <c r="E6402" t="s">
        <v>13</v>
      </c>
      <c r="F6402" t="s">
        <v>14</v>
      </c>
      <c r="G6402" t="s">
        <v>15</v>
      </c>
      <c r="H6402" t="s">
        <v>16</v>
      </c>
      <c r="I6402">
        <v>9.3909644E-2</v>
      </c>
      <c r="J6402">
        <v>10.5</v>
      </c>
      <c r="K6402">
        <v>213.7244</v>
      </c>
      <c r="L6402">
        <v>4</v>
      </c>
    </row>
    <row r="6403" spans="1:12"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
      <c r="A6407" t="s">
        <v>10</v>
      </c>
      <c r="B6407" t="s">
        <v>658</v>
      </c>
      <c r="C6407" t="s">
        <v>48</v>
      </c>
      <c r="D6407">
        <v>2012</v>
      </c>
      <c r="E6407" t="s">
        <v>13</v>
      </c>
      <c r="F6407" t="s">
        <v>14</v>
      </c>
      <c r="G6407" t="s">
        <v>15</v>
      </c>
      <c r="H6407" t="s">
        <v>16</v>
      </c>
      <c r="I6407">
        <v>6.7181097999999995E-2</v>
      </c>
      <c r="J6407">
        <v>15.1</v>
      </c>
      <c r="K6407">
        <v>258.8304</v>
      </c>
      <c r="L6407">
        <v>4</v>
      </c>
    </row>
    <row r="6408" spans="1:12"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
      <c r="A6422" t="s">
        <v>10</v>
      </c>
      <c r="B6422" t="s">
        <v>733</v>
      </c>
      <c r="C6422" t="s">
        <v>12</v>
      </c>
      <c r="D6422">
        <v>2012</v>
      </c>
      <c r="E6422" t="s">
        <v>13</v>
      </c>
      <c r="F6422" t="s">
        <v>14</v>
      </c>
      <c r="G6422" t="s">
        <v>15</v>
      </c>
      <c r="H6422" t="s">
        <v>16</v>
      </c>
      <c r="I6422">
        <v>0</v>
      </c>
      <c r="J6422">
        <v>5.82</v>
      </c>
      <c r="K6422">
        <v>256.63299999999998</v>
      </c>
      <c r="L6422">
        <v>4</v>
      </c>
    </row>
    <row r="6423" spans="1:12" x14ac:dyDescent="0.3">
      <c r="A6423" t="s">
        <v>10</v>
      </c>
      <c r="B6423" t="s">
        <v>963</v>
      </c>
      <c r="C6423" t="s">
        <v>54</v>
      </c>
      <c r="D6423">
        <v>2012</v>
      </c>
      <c r="E6423" t="s">
        <v>13</v>
      </c>
      <c r="F6423" t="s">
        <v>14</v>
      </c>
      <c r="G6423" t="s">
        <v>15</v>
      </c>
      <c r="H6423" t="s">
        <v>16</v>
      </c>
      <c r="I6423">
        <v>9.8832569999999995E-3</v>
      </c>
      <c r="J6423">
        <v>6.26</v>
      </c>
      <c r="K6423">
        <v>149.8366</v>
      </c>
      <c r="L6423">
        <v>4</v>
      </c>
    </row>
    <row r="6424" spans="1:12"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x14ac:dyDescent="0.3">
      <c r="A6514" t="s">
        <v>10</v>
      </c>
      <c r="B6514" t="s">
        <v>335</v>
      </c>
      <c r="C6514" t="s">
        <v>95</v>
      </c>
      <c r="D6514">
        <v>2018</v>
      </c>
      <c r="E6514" t="s">
        <v>138</v>
      </c>
      <c r="F6514" t="s">
        <v>14</v>
      </c>
      <c r="G6514" t="s">
        <v>26</v>
      </c>
      <c r="H6514" t="s">
        <v>40</v>
      </c>
      <c r="I6514">
        <v>0.2004264</v>
      </c>
      <c r="K6514">
        <v>88.851399999999998</v>
      </c>
      <c r="L6514">
        <v>4</v>
      </c>
    </row>
    <row r="6515" spans="1:12" x14ac:dyDescent="0.3">
      <c r="A6515" t="s">
        <v>10</v>
      </c>
      <c r="B6515" t="s">
        <v>431</v>
      </c>
      <c r="C6515" t="s">
        <v>95</v>
      </c>
      <c r="D6515">
        <v>2018</v>
      </c>
      <c r="E6515" t="s">
        <v>138</v>
      </c>
      <c r="F6515" t="s">
        <v>14</v>
      </c>
      <c r="G6515" t="s">
        <v>26</v>
      </c>
      <c r="H6515" t="s">
        <v>40</v>
      </c>
      <c r="I6515">
        <v>0</v>
      </c>
      <c r="K6515">
        <v>38.184800000000003</v>
      </c>
      <c r="L6515">
        <v>4</v>
      </c>
    </row>
    <row r="6516" spans="1:12" x14ac:dyDescent="0.3">
      <c r="A6516" t="s">
        <v>10</v>
      </c>
      <c r="B6516" t="s">
        <v>1603</v>
      </c>
      <c r="C6516" t="s">
        <v>95</v>
      </c>
      <c r="D6516">
        <v>2018</v>
      </c>
      <c r="E6516" t="s">
        <v>138</v>
      </c>
      <c r="F6516" t="s">
        <v>14</v>
      </c>
      <c r="G6516" t="s">
        <v>26</v>
      </c>
      <c r="H6516" t="s">
        <v>40</v>
      </c>
      <c r="I6516">
        <v>0.191500528</v>
      </c>
      <c r="K6516">
        <v>121.2098</v>
      </c>
      <c r="L6516">
        <v>4</v>
      </c>
    </row>
    <row r="6517" spans="1:12" x14ac:dyDescent="0.3">
      <c r="A6517" t="s">
        <v>10</v>
      </c>
      <c r="B6517" t="s">
        <v>120</v>
      </c>
      <c r="C6517" t="s">
        <v>95</v>
      </c>
      <c r="D6517">
        <v>2018</v>
      </c>
      <c r="E6517" t="s">
        <v>138</v>
      </c>
      <c r="F6517" t="s">
        <v>14</v>
      </c>
      <c r="G6517" t="s">
        <v>26</v>
      </c>
      <c r="H6517" t="s">
        <v>40</v>
      </c>
      <c r="I6517">
        <v>0.13263034500000001</v>
      </c>
      <c r="K6517">
        <v>263.85680000000002</v>
      </c>
      <c r="L6517">
        <v>4</v>
      </c>
    </row>
    <row r="6518" spans="1:12" x14ac:dyDescent="0.3">
      <c r="A6518" t="s">
        <v>10</v>
      </c>
      <c r="B6518" t="s">
        <v>904</v>
      </c>
      <c r="C6518" t="s">
        <v>95</v>
      </c>
      <c r="D6518">
        <v>2018</v>
      </c>
      <c r="E6518" t="s">
        <v>138</v>
      </c>
      <c r="F6518" t="s">
        <v>14</v>
      </c>
      <c r="G6518" t="s">
        <v>26</v>
      </c>
      <c r="H6518" t="s">
        <v>40</v>
      </c>
      <c r="I6518">
        <v>0.18212836299999999</v>
      </c>
      <c r="K6518">
        <v>165.65</v>
      </c>
      <c r="L6518">
        <v>4</v>
      </c>
    </row>
    <row r="6519" spans="1:12" x14ac:dyDescent="0.3">
      <c r="A6519" t="s">
        <v>10</v>
      </c>
      <c r="B6519" t="s">
        <v>867</v>
      </c>
      <c r="C6519" t="s">
        <v>57</v>
      </c>
      <c r="D6519">
        <v>2018</v>
      </c>
      <c r="E6519" t="s">
        <v>138</v>
      </c>
      <c r="F6519" t="s">
        <v>14</v>
      </c>
      <c r="G6519" t="s">
        <v>26</v>
      </c>
      <c r="H6519" t="s">
        <v>40</v>
      </c>
      <c r="I6519">
        <v>9.7275776999999994E-2</v>
      </c>
      <c r="K6519">
        <v>223.90880000000001</v>
      </c>
      <c r="L6519">
        <v>4</v>
      </c>
    </row>
    <row r="6520" spans="1:12" x14ac:dyDescent="0.3">
      <c r="A6520" t="s">
        <v>10</v>
      </c>
      <c r="B6520" t="s">
        <v>936</v>
      </c>
      <c r="C6520" t="s">
        <v>57</v>
      </c>
      <c r="D6520">
        <v>2018</v>
      </c>
      <c r="E6520" t="s">
        <v>138</v>
      </c>
      <c r="F6520" t="s">
        <v>14</v>
      </c>
      <c r="G6520" t="s">
        <v>26</v>
      </c>
      <c r="H6520" t="s">
        <v>40</v>
      </c>
      <c r="I6520">
        <v>7.6851759000000006E-2</v>
      </c>
      <c r="K6520">
        <v>111.857</v>
      </c>
      <c r="L6520">
        <v>4</v>
      </c>
    </row>
    <row r="6521" spans="1:12" x14ac:dyDescent="0.3">
      <c r="A6521" t="s">
        <v>10</v>
      </c>
      <c r="B6521" t="s">
        <v>569</v>
      </c>
      <c r="C6521" t="s">
        <v>57</v>
      </c>
      <c r="D6521">
        <v>2018</v>
      </c>
      <c r="E6521" t="s">
        <v>138</v>
      </c>
      <c r="F6521" t="s">
        <v>14</v>
      </c>
      <c r="G6521" t="s">
        <v>26</v>
      </c>
      <c r="H6521" t="s">
        <v>40</v>
      </c>
      <c r="I6521">
        <v>0.13991304500000001</v>
      </c>
      <c r="K6521">
        <v>227.90360000000001</v>
      </c>
      <c r="L6521">
        <v>4</v>
      </c>
    </row>
    <row r="6522" spans="1:12" x14ac:dyDescent="0.3">
      <c r="A6522" t="s">
        <v>10</v>
      </c>
      <c r="B6522" t="s">
        <v>422</v>
      </c>
      <c r="C6522" t="s">
        <v>74</v>
      </c>
      <c r="D6522">
        <v>2018</v>
      </c>
      <c r="E6522" t="s">
        <v>138</v>
      </c>
      <c r="F6522" t="s">
        <v>14</v>
      </c>
      <c r="G6522" t="s">
        <v>26</v>
      </c>
      <c r="H6522" t="s">
        <v>40</v>
      </c>
      <c r="I6522">
        <v>0.27459228299999999</v>
      </c>
      <c r="K6522">
        <v>167.84739999999999</v>
      </c>
      <c r="L6522">
        <v>4</v>
      </c>
    </row>
    <row r="6523" spans="1:12" x14ac:dyDescent="0.3">
      <c r="A6523" t="s">
        <v>10</v>
      </c>
      <c r="B6523" t="s">
        <v>429</v>
      </c>
      <c r="C6523" t="s">
        <v>74</v>
      </c>
      <c r="D6523">
        <v>2018</v>
      </c>
      <c r="E6523" t="s">
        <v>138</v>
      </c>
      <c r="F6523" t="s">
        <v>14</v>
      </c>
      <c r="G6523" t="s">
        <v>26</v>
      </c>
      <c r="H6523" t="s">
        <v>40</v>
      </c>
      <c r="I6523">
        <v>0.120965853</v>
      </c>
      <c r="K6523">
        <v>55.861400000000003</v>
      </c>
      <c r="L6523">
        <v>4</v>
      </c>
    </row>
    <row r="6524" spans="1:12" x14ac:dyDescent="0.3">
      <c r="A6524" t="s">
        <v>10</v>
      </c>
      <c r="B6524" t="s">
        <v>423</v>
      </c>
      <c r="C6524" t="s">
        <v>28</v>
      </c>
      <c r="D6524">
        <v>2018</v>
      </c>
      <c r="E6524" t="s">
        <v>138</v>
      </c>
      <c r="F6524" t="s">
        <v>14</v>
      </c>
      <c r="G6524" t="s">
        <v>26</v>
      </c>
      <c r="H6524" t="s">
        <v>40</v>
      </c>
      <c r="I6524">
        <v>0</v>
      </c>
      <c r="K6524">
        <v>92.311999999999998</v>
      </c>
      <c r="L6524">
        <v>4</v>
      </c>
    </row>
    <row r="6525" spans="1:12" x14ac:dyDescent="0.3">
      <c r="A6525" t="s">
        <v>10</v>
      </c>
      <c r="B6525" t="s">
        <v>712</v>
      </c>
      <c r="C6525" t="s">
        <v>28</v>
      </c>
      <c r="D6525">
        <v>2018</v>
      </c>
      <c r="E6525" t="s">
        <v>138</v>
      </c>
      <c r="F6525" t="s">
        <v>14</v>
      </c>
      <c r="G6525" t="s">
        <v>26</v>
      </c>
      <c r="H6525" t="s">
        <v>40</v>
      </c>
      <c r="I6525">
        <v>4.4063785000000001E-2</v>
      </c>
      <c r="K6525">
        <v>147.24180000000001</v>
      </c>
      <c r="L6525">
        <v>4</v>
      </c>
    </row>
    <row r="6526" spans="1:12" x14ac:dyDescent="0.3">
      <c r="A6526" t="s">
        <v>10</v>
      </c>
      <c r="B6526" t="s">
        <v>677</v>
      </c>
      <c r="C6526" t="s">
        <v>28</v>
      </c>
      <c r="D6526">
        <v>2018</v>
      </c>
      <c r="E6526" t="s">
        <v>138</v>
      </c>
      <c r="F6526" t="s">
        <v>14</v>
      </c>
      <c r="G6526" t="s">
        <v>26</v>
      </c>
      <c r="H6526" t="s">
        <v>40</v>
      </c>
      <c r="I6526">
        <v>0</v>
      </c>
      <c r="K6526">
        <v>78.896000000000001</v>
      </c>
      <c r="L6526">
        <v>4</v>
      </c>
    </row>
    <row r="6527" spans="1:12" x14ac:dyDescent="0.3">
      <c r="A6527" t="s">
        <v>10</v>
      </c>
      <c r="B6527" t="s">
        <v>1048</v>
      </c>
      <c r="C6527" t="s">
        <v>28</v>
      </c>
      <c r="D6527">
        <v>2018</v>
      </c>
      <c r="E6527" t="s">
        <v>138</v>
      </c>
      <c r="F6527" t="s">
        <v>14</v>
      </c>
      <c r="G6527" t="s">
        <v>26</v>
      </c>
      <c r="H6527" t="s">
        <v>40</v>
      </c>
      <c r="I6527">
        <v>0.161030847</v>
      </c>
      <c r="K6527">
        <v>251.24080000000001</v>
      </c>
      <c r="L6527">
        <v>4</v>
      </c>
    </row>
    <row r="6528" spans="1:12" x14ac:dyDescent="0.3">
      <c r="A6528" t="s">
        <v>10</v>
      </c>
      <c r="B6528" t="s">
        <v>252</v>
      </c>
      <c r="C6528" t="s">
        <v>28</v>
      </c>
      <c r="D6528">
        <v>2018</v>
      </c>
      <c r="E6528" t="s">
        <v>138</v>
      </c>
      <c r="F6528" t="s">
        <v>14</v>
      </c>
      <c r="G6528" t="s">
        <v>26</v>
      </c>
      <c r="H6528" t="s">
        <v>40</v>
      </c>
      <c r="I6528">
        <v>2.1031586000000001E-2</v>
      </c>
      <c r="K6528">
        <v>164.7184</v>
      </c>
      <c r="L6528">
        <v>4</v>
      </c>
    </row>
    <row r="6529" spans="1:12" x14ac:dyDescent="0.3">
      <c r="A6529" t="s">
        <v>10</v>
      </c>
      <c r="B6529" t="s">
        <v>1587</v>
      </c>
      <c r="C6529" t="s">
        <v>67</v>
      </c>
      <c r="D6529">
        <v>2018</v>
      </c>
      <c r="E6529" t="s">
        <v>138</v>
      </c>
      <c r="F6529" t="s">
        <v>14</v>
      </c>
      <c r="G6529" t="s">
        <v>26</v>
      </c>
      <c r="H6529" t="s">
        <v>40</v>
      </c>
      <c r="I6529">
        <v>0.12942514499999999</v>
      </c>
      <c r="K6529">
        <v>219.34819999999999</v>
      </c>
      <c r="L6529">
        <v>4</v>
      </c>
    </row>
    <row r="6530" spans="1:12" x14ac:dyDescent="0.3">
      <c r="A6530" t="s">
        <v>10</v>
      </c>
      <c r="B6530" t="s">
        <v>1244</v>
      </c>
      <c r="C6530" t="s">
        <v>67</v>
      </c>
      <c r="D6530">
        <v>2018</v>
      </c>
      <c r="E6530" t="s">
        <v>138</v>
      </c>
      <c r="F6530" t="s">
        <v>14</v>
      </c>
      <c r="G6530" t="s">
        <v>26</v>
      </c>
      <c r="H6530" t="s">
        <v>40</v>
      </c>
      <c r="I6530">
        <v>7.4620291000000005E-2</v>
      </c>
      <c r="K6530">
        <v>120.1782</v>
      </c>
      <c r="L6530">
        <v>4</v>
      </c>
    </row>
    <row r="6531" spans="1:12" x14ac:dyDescent="0.3">
      <c r="A6531" t="s">
        <v>10</v>
      </c>
      <c r="B6531" t="s">
        <v>125</v>
      </c>
      <c r="C6531" t="s">
        <v>67</v>
      </c>
      <c r="D6531">
        <v>2018</v>
      </c>
      <c r="E6531" t="s">
        <v>138</v>
      </c>
      <c r="F6531" t="s">
        <v>14</v>
      </c>
      <c r="G6531" t="s">
        <v>26</v>
      </c>
      <c r="H6531" t="s">
        <v>40</v>
      </c>
      <c r="I6531">
        <v>0.13334711899999999</v>
      </c>
      <c r="K6531">
        <v>193.07939999999999</v>
      </c>
      <c r="L6531">
        <v>4</v>
      </c>
    </row>
    <row r="6532" spans="1:12" x14ac:dyDescent="0.3">
      <c r="A6532" t="s">
        <v>10</v>
      </c>
      <c r="B6532" t="s">
        <v>1500</v>
      </c>
      <c r="C6532" t="s">
        <v>67</v>
      </c>
      <c r="D6532">
        <v>2018</v>
      </c>
      <c r="E6532" t="s">
        <v>138</v>
      </c>
      <c r="F6532" t="s">
        <v>14</v>
      </c>
      <c r="G6532" t="s">
        <v>26</v>
      </c>
      <c r="H6532" t="s">
        <v>40</v>
      </c>
      <c r="I6532">
        <v>0.153456703</v>
      </c>
      <c r="K6532">
        <v>264.09100000000001</v>
      </c>
      <c r="L6532">
        <v>4</v>
      </c>
    </row>
    <row r="6533" spans="1:12" x14ac:dyDescent="0.3">
      <c r="A6533" t="s">
        <v>10</v>
      </c>
      <c r="B6533" t="s">
        <v>398</v>
      </c>
      <c r="C6533" t="s">
        <v>24</v>
      </c>
      <c r="D6533">
        <v>2018</v>
      </c>
      <c r="E6533" t="s">
        <v>138</v>
      </c>
      <c r="F6533" t="s">
        <v>14</v>
      </c>
      <c r="G6533" t="s">
        <v>26</v>
      </c>
      <c r="H6533" t="s">
        <v>40</v>
      </c>
      <c r="I6533">
        <v>1.9912605999999999E-2</v>
      </c>
      <c r="K6533">
        <v>91.0488</v>
      </c>
      <c r="L6533">
        <v>4</v>
      </c>
    </row>
    <row r="6534" spans="1:12" x14ac:dyDescent="0.3">
      <c r="A6534" t="s">
        <v>10</v>
      </c>
      <c r="B6534" t="s">
        <v>1489</v>
      </c>
      <c r="C6534" t="s">
        <v>24</v>
      </c>
      <c r="D6534">
        <v>2018</v>
      </c>
      <c r="E6534" t="s">
        <v>138</v>
      </c>
      <c r="F6534" t="s">
        <v>14</v>
      </c>
      <c r="G6534" t="s">
        <v>26</v>
      </c>
      <c r="H6534" t="s">
        <v>40</v>
      </c>
      <c r="I6534">
        <v>0.127660257</v>
      </c>
      <c r="K6534">
        <v>198.54259999999999</v>
      </c>
      <c r="L6534">
        <v>4</v>
      </c>
    </row>
    <row r="6535" spans="1:12" x14ac:dyDescent="0.3">
      <c r="A6535" t="s">
        <v>10</v>
      </c>
      <c r="B6535" t="s">
        <v>1493</v>
      </c>
      <c r="C6535" t="s">
        <v>24</v>
      </c>
      <c r="D6535">
        <v>2018</v>
      </c>
      <c r="E6535" t="s">
        <v>138</v>
      </c>
      <c r="F6535" t="s">
        <v>14</v>
      </c>
      <c r="G6535" t="s">
        <v>26</v>
      </c>
      <c r="H6535" t="s">
        <v>40</v>
      </c>
      <c r="I6535">
        <v>0</v>
      </c>
      <c r="K6535">
        <v>230.0668</v>
      </c>
      <c r="L6535">
        <v>4</v>
      </c>
    </row>
    <row r="6536" spans="1:12" x14ac:dyDescent="0.3">
      <c r="A6536" t="s">
        <v>10</v>
      </c>
      <c r="B6536" t="s">
        <v>552</v>
      </c>
      <c r="C6536" t="s">
        <v>24</v>
      </c>
      <c r="D6536">
        <v>2018</v>
      </c>
      <c r="E6536" t="s">
        <v>138</v>
      </c>
      <c r="F6536" t="s">
        <v>14</v>
      </c>
      <c r="G6536" t="s">
        <v>26</v>
      </c>
      <c r="H6536" t="s">
        <v>40</v>
      </c>
      <c r="I6536">
        <v>6.3079544000000001E-2</v>
      </c>
      <c r="K6536">
        <v>175.77119999999999</v>
      </c>
      <c r="L6536">
        <v>4</v>
      </c>
    </row>
    <row r="6537" spans="1:12" x14ac:dyDescent="0.3">
      <c r="A6537" t="s">
        <v>10</v>
      </c>
      <c r="B6537" t="s">
        <v>442</v>
      </c>
      <c r="C6537" t="s">
        <v>24</v>
      </c>
      <c r="D6537">
        <v>2018</v>
      </c>
      <c r="E6537" t="s">
        <v>138</v>
      </c>
      <c r="F6537" t="s">
        <v>14</v>
      </c>
      <c r="G6537" t="s">
        <v>26</v>
      </c>
      <c r="H6537" t="s">
        <v>40</v>
      </c>
      <c r="I6537">
        <v>0.13314425899999999</v>
      </c>
      <c r="K6537">
        <v>190.88460000000001</v>
      </c>
      <c r="L6537">
        <v>4</v>
      </c>
    </row>
    <row r="6538" spans="1:12" x14ac:dyDescent="0.3">
      <c r="A6538" t="s">
        <v>10</v>
      </c>
      <c r="B6538" t="s">
        <v>1006</v>
      </c>
      <c r="C6538" t="s">
        <v>24</v>
      </c>
      <c r="D6538">
        <v>2018</v>
      </c>
      <c r="E6538" t="s">
        <v>138</v>
      </c>
      <c r="F6538" t="s">
        <v>14</v>
      </c>
      <c r="G6538" t="s">
        <v>26</v>
      </c>
      <c r="H6538" t="s">
        <v>40</v>
      </c>
      <c r="I6538">
        <v>0.145200948</v>
      </c>
      <c r="K6538">
        <v>35.455800000000004</v>
      </c>
      <c r="L6538">
        <v>4</v>
      </c>
    </row>
    <row r="6539" spans="1:12" x14ac:dyDescent="0.3">
      <c r="A6539" t="s">
        <v>10</v>
      </c>
      <c r="B6539" t="s">
        <v>1293</v>
      </c>
      <c r="C6539" t="s">
        <v>24</v>
      </c>
      <c r="D6539">
        <v>2018</v>
      </c>
      <c r="E6539" t="s">
        <v>138</v>
      </c>
      <c r="F6539" t="s">
        <v>14</v>
      </c>
      <c r="G6539" t="s">
        <v>26</v>
      </c>
      <c r="H6539" t="s">
        <v>40</v>
      </c>
      <c r="I6539">
        <v>7.3541071999999999E-2</v>
      </c>
      <c r="K6539">
        <v>192.28200000000001</v>
      </c>
      <c r="L6539">
        <v>4</v>
      </c>
    </row>
    <row r="6540" spans="1:12" x14ac:dyDescent="0.3">
      <c r="A6540" t="s">
        <v>10</v>
      </c>
      <c r="B6540" t="s">
        <v>1159</v>
      </c>
      <c r="C6540" t="s">
        <v>12</v>
      </c>
      <c r="D6540">
        <v>2018</v>
      </c>
      <c r="E6540" t="s">
        <v>138</v>
      </c>
      <c r="F6540" t="s">
        <v>14</v>
      </c>
      <c r="G6540" t="s">
        <v>26</v>
      </c>
      <c r="H6540" t="s">
        <v>40</v>
      </c>
      <c r="I6540">
        <v>9.9780431000000003E-2</v>
      </c>
      <c r="K6540">
        <v>225.2088</v>
      </c>
      <c r="L6540">
        <v>4</v>
      </c>
    </row>
    <row r="6541" spans="1:12" x14ac:dyDescent="0.3">
      <c r="A6541" t="s">
        <v>10</v>
      </c>
      <c r="B6541" t="s">
        <v>362</v>
      </c>
      <c r="C6541" t="s">
        <v>12</v>
      </c>
      <c r="D6541">
        <v>2018</v>
      </c>
      <c r="E6541" t="s">
        <v>138</v>
      </c>
      <c r="F6541" t="s">
        <v>14</v>
      </c>
      <c r="G6541" t="s">
        <v>26</v>
      </c>
      <c r="H6541" t="s">
        <v>40</v>
      </c>
      <c r="I6541">
        <v>7.5215349000000001E-2</v>
      </c>
      <c r="K6541">
        <v>108.4254</v>
      </c>
      <c r="L6541">
        <v>4</v>
      </c>
    </row>
    <row r="6542" spans="1:12" x14ac:dyDescent="0.3">
      <c r="A6542" t="s">
        <v>10</v>
      </c>
      <c r="B6542" t="s">
        <v>1520</v>
      </c>
      <c r="C6542" t="s">
        <v>12</v>
      </c>
      <c r="D6542">
        <v>2018</v>
      </c>
      <c r="E6542" t="s">
        <v>138</v>
      </c>
      <c r="F6542" t="s">
        <v>14</v>
      </c>
      <c r="G6542" t="s">
        <v>26</v>
      </c>
      <c r="H6542" t="s">
        <v>40</v>
      </c>
      <c r="I6542">
        <v>0.214423791</v>
      </c>
      <c r="K6542">
        <v>111.6544</v>
      </c>
      <c r="L6542">
        <v>4</v>
      </c>
    </row>
    <row r="6543" spans="1:12" x14ac:dyDescent="0.3">
      <c r="A6543" t="s">
        <v>10</v>
      </c>
      <c r="B6543" t="s">
        <v>1536</v>
      </c>
      <c r="C6543" t="s">
        <v>12</v>
      </c>
      <c r="D6543">
        <v>2018</v>
      </c>
      <c r="E6543" t="s">
        <v>138</v>
      </c>
      <c r="F6543" t="s">
        <v>14</v>
      </c>
      <c r="G6543" t="s">
        <v>26</v>
      </c>
      <c r="H6543" t="s">
        <v>40</v>
      </c>
      <c r="I6543">
        <v>0.187443314</v>
      </c>
      <c r="K6543">
        <v>145.87860000000001</v>
      </c>
      <c r="L6543">
        <v>4</v>
      </c>
    </row>
    <row r="6544" spans="1:12" x14ac:dyDescent="0.3">
      <c r="A6544" t="s">
        <v>10</v>
      </c>
      <c r="B6544" t="s">
        <v>957</v>
      </c>
      <c r="C6544" t="s">
        <v>12</v>
      </c>
      <c r="D6544">
        <v>2018</v>
      </c>
      <c r="E6544" t="s">
        <v>138</v>
      </c>
      <c r="F6544" t="s">
        <v>14</v>
      </c>
      <c r="G6544" t="s">
        <v>26</v>
      </c>
      <c r="H6544" t="s">
        <v>40</v>
      </c>
      <c r="I6544">
        <v>8.6077865000000003E-2</v>
      </c>
      <c r="K6544">
        <v>143.81020000000001</v>
      </c>
      <c r="L6544">
        <v>4</v>
      </c>
    </row>
    <row r="6545" spans="1:12" x14ac:dyDescent="0.3">
      <c r="A6545" t="s">
        <v>10</v>
      </c>
      <c r="B6545" t="s">
        <v>1295</v>
      </c>
      <c r="C6545" t="s">
        <v>12</v>
      </c>
      <c r="D6545">
        <v>2018</v>
      </c>
      <c r="E6545" t="s">
        <v>138</v>
      </c>
      <c r="F6545" t="s">
        <v>14</v>
      </c>
      <c r="G6545" t="s">
        <v>26</v>
      </c>
      <c r="H6545" t="s">
        <v>40</v>
      </c>
      <c r="I6545">
        <v>0.27321283000000002</v>
      </c>
      <c r="K6545">
        <v>240.9538</v>
      </c>
      <c r="L6545">
        <v>4</v>
      </c>
    </row>
    <row r="6546" spans="1:12" x14ac:dyDescent="0.3">
      <c r="A6546" t="s">
        <v>10</v>
      </c>
      <c r="B6546" t="s">
        <v>1246</v>
      </c>
      <c r="C6546" t="s">
        <v>12</v>
      </c>
      <c r="D6546">
        <v>2018</v>
      </c>
      <c r="E6546" t="s">
        <v>138</v>
      </c>
      <c r="F6546" t="s">
        <v>14</v>
      </c>
      <c r="G6546" t="s">
        <v>26</v>
      </c>
      <c r="H6546" t="s">
        <v>40</v>
      </c>
      <c r="I6546">
        <v>3.7569401000000002E-2</v>
      </c>
      <c r="K6546">
        <v>120.7098</v>
      </c>
      <c r="L6546">
        <v>4</v>
      </c>
    </row>
    <row r="6547" spans="1:12" x14ac:dyDescent="0.3">
      <c r="A6547" t="s">
        <v>10</v>
      </c>
      <c r="B6547" t="s">
        <v>363</v>
      </c>
      <c r="C6547" t="s">
        <v>12</v>
      </c>
      <c r="D6547">
        <v>2018</v>
      </c>
      <c r="E6547" t="s">
        <v>138</v>
      </c>
      <c r="F6547" t="s">
        <v>14</v>
      </c>
      <c r="G6547" t="s">
        <v>26</v>
      </c>
      <c r="H6547" t="s">
        <v>40</v>
      </c>
      <c r="I6547">
        <v>6.1730519999999997E-2</v>
      </c>
      <c r="K6547">
        <v>159.15780000000001</v>
      </c>
      <c r="L6547">
        <v>4</v>
      </c>
    </row>
    <row r="6548" spans="1:12" x14ac:dyDescent="0.3">
      <c r="A6548" t="s">
        <v>10</v>
      </c>
      <c r="B6548" t="s">
        <v>1160</v>
      </c>
      <c r="C6548" t="s">
        <v>12</v>
      </c>
      <c r="D6548">
        <v>2018</v>
      </c>
      <c r="E6548" t="s">
        <v>138</v>
      </c>
      <c r="F6548" t="s">
        <v>14</v>
      </c>
      <c r="G6548" t="s">
        <v>26</v>
      </c>
      <c r="H6548" t="s">
        <v>40</v>
      </c>
      <c r="I6548">
        <v>0.165101585</v>
      </c>
      <c r="K6548">
        <v>87.788200000000003</v>
      </c>
      <c r="L6548">
        <v>4</v>
      </c>
    </row>
    <row r="6549" spans="1:12" x14ac:dyDescent="0.3">
      <c r="A6549" t="s">
        <v>10</v>
      </c>
      <c r="B6549" t="s">
        <v>400</v>
      </c>
      <c r="C6549" t="s">
        <v>12</v>
      </c>
      <c r="D6549">
        <v>2018</v>
      </c>
      <c r="E6549" t="s">
        <v>138</v>
      </c>
      <c r="F6549" t="s">
        <v>14</v>
      </c>
      <c r="G6549" t="s">
        <v>26</v>
      </c>
      <c r="H6549" t="s">
        <v>40</v>
      </c>
      <c r="I6549">
        <v>0</v>
      </c>
      <c r="K6549">
        <v>234.79580000000001</v>
      </c>
      <c r="L6549">
        <v>4</v>
      </c>
    </row>
    <row r="6550" spans="1:12" x14ac:dyDescent="0.3">
      <c r="A6550" t="s">
        <v>10</v>
      </c>
      <c r="B6550" t="s">
        <v>443</v>
      </c>
      <c r="C6550" t="s">
        <v>12</v>
      </c>
      <c r="D6550">
        <v>2018</v>
      </c>
      <c r="E6550" t="s">
        <v>138</v>
      </c>
      <c r="F6550" t="s">
        <v>14</v>
      </c>
      <c r="G6550" t="s">
        <v>26</v>
      </c>
      <c r="H6550" t="s">
        <v>40</v>
      </c>
      <c r="I6550">
        <v>0.109274313</v>
      </c>
      <c r="K6550">
        <v>225.30619999999999</v>
      </c>
      <c r="L6550">
        <v>4</v>
      </c>
    </row>
    <row r="6551" spans="1:12" x14ac:dyDescent="0.3">
      <c r="A6551" t="s">
        <v>10</v>
      </c>
      <c r="B6551" t="s">
        <v>62</v>
      </c>
      <c r="C6551" t="s">
        <v>12</v>
      </c>
      <c r="D6551">
        <v>2018</v>
      </c>
      <c r="E6551" t="s">
        <v>138</v>
      </c>
      <c r="F6551" t="s">
        <v>14</v>
      </c>
      <c r="G6551" t="s">
        <v>26</v>
      </c>
      <c r="H6551" t="s">
        <v>40</v>
      </c>
      <c r="I6551">
        <v>0.16439157300000001</v>
      </c>
      <c r="K6551">
        <v>62.819400000000002</v>
      </c>
      <c r="L6551">
        <v>4</v>
      </c>
    </row>
    <row r="6552" spans="1:12" x14ac:dyDescent="0.3">
      <c r="A6552" t="s">
        <v>10</v>
      </c>
      <c r="B6552" t="s">
        <v>1013</v>
      </c>
      <c r="C6552" t="s">
        <v>54</v>
      </c>
      <c r="D6552">
        <v>2018</v>
      </c>
      <c r="E6552" t="s">
        <v>138</v>
      </c>
      <c r="F6552" t="s">
        <v>14</v>
      </c>
      <c r="G6552" t="s">
        <v>26</v>
      </c>
      <c r="H6552" t="s">
        <v>40</v>
      </c>
      <c r="I6552">
        <v>0.277459381</v>
      </c>
      <c r="K6552">
        <v>156.3946</v>
      </c>
      <c r="L6552">
        <v>4</v>
      </c>
    </row>
    <row r="6553" spans="1:12" x14ac:dyDescent="0.3">
      <c r="A6553" t="s">
        <v>10</v>
      </c>
      <c r="B6553" t="s">
        <v>886</v>
      </c>
      <c r="C6553" t="s">
        <v>54</v>
      </c>
      <c r="D6553">
        <v>2018</v>
      </c>
      <c r="E6553" t="s">
        <v>138</v>
      </c>
      <c r="F6553" t="s">
        <v>14</v>
      </c>
      <c r="G6553" t="s">
        <v>26</v>
      </c>
      <c r="H6553" t="s">
        <v>40</v>
      </c>
      <c r="I6553">
        <v>1.4998914E-2</v>
      </c>
      <c r="K6553">
        <v>72.403800000000004</v>
      </c>
      <c r="L6553">
        <v>4</v>
      </c>
    </row>
    <row r="6554" spans="1:12" x14ac:dyDescent="0.3">
      <c r="A6554" t="s">
        <v>10</v>
      </c>
      <c r="B6554" t="s">
        <v>84</v>
      </c>
      <c r="C6554" t="s">
        <v>54</v>
      </c>
      <c r="D6554">
        <v>2018</v>
      </c>
      <c r="E6554" t="s">
        <v>138</v>
      </c>
      <c r="F6554" t="s">
        <v>14</v>
      </c>
      <c r="G6554" t="s">
        <v>26</v>
      </c>
      <c r="H6554" t="s">
        <v>40</v>
      </c>
      <c r="I6554">
        <v>0.14930549700000001</v>
      </c>
      <c r="K6554">
        <v>119.61239999999999</v>
      </c>
      <c r="L6554">
        <v>4</v>
      </c>
    </row>
    <row r="6555" spans="1:12" x14ac:dyDescent="0.3">
      <c r="A6555" t="s">
        <v>10</v>
      </c>
      <c r="B6555" t="s">
        <v>1014</v>
      </c>
      <c r="C6555" t="s">
        <v>54</v>
      </c>
      <c r="D6555">
        <v>2018</v>
      </c>
      <c r="E6555" t="s">
        <v>138</v>
      </c>
      <c r="F6555" t="s">
        <v>14</v>
      </c>
      <c r="G6555" t="s">
        <v>26</v>
      </c>
      <c r="H6555" t="s">
        <v>40</v>
      </c>
      <c r="I6555">
        <v>0.13659289099999999</v>
      </c>
      <c r="K6555">
        <v>238.0248</v>
      </c>
      <c r="L6555">
        <v>4</v>
      </c>
    </row>
    <row r="6556" spans="1:12" x14ac:dyDescent="0.3">
      <c r="A6556" t="s">
        <v>10</v>
      </c>
      <c r="B6556" t="s">
        <v>1559</v>
      </c>
      <c r="C6556" t="s">
        <v>54</v>
      </c>
      <c r="D6556">
        <v>2018</v>
      </c>
      <c r="E6556" t="s">
        <v>138</v>
      </c>
      <c r="F6556" t="s">
        <v>14</v>
      </c>
      <c r="G6556" t="s">
        <v>26</v>
      </c>
      <c r="H6556" t="s">
        <v>40</v>
      </c>
      <c r="I6556">
        <v>7.4729834999999994E-2</v>
      </c>
      <c r="K6556">
        <v>183.79499999999999</v>
      </c>
      <c r="L6556">
        <v>4</v>
      </c>
    </row>
    <row r="6557" spans="1:12" x14ac:dyDescent="0.3">
      <c r="A6557" t="s">
        <v>10</v>
      </c>
      <c r="B6557" t="s">
        <v>1335</v>
      </c>
      <c r="C6557" t="s">
        <v>54</v>
      </c>
      <c r="D6557">
        <v>2018</v>
      </c>
      <c r="E6557" t="s">
        <v>138</v>
      </c>
      <c r="F6557" t="s">
        <v>14</v>
      </c>
      <c r="G6557" t="s">
        <v>26</v>
      </c>
      <c r="H6557" t="s">
        <v>40</v>
      </c>
      <c r="I6557">
        <v>1.9117392E-2</v>
      </c>
      <c r="K6557">
        <v>110.6544</v>
      </c>
      <c r="L6557">
        <v>4</v>
      </c>
    </row>
    <row r="6558" spans="1:12" x14ac:dyDescent="0.3">
      <c r="A6558" t="s">
        <v>10</v>
      </c>
      <c r="B6558" t="s">
        <v>1439</v>
      </c>
      <c r="C6558" t="s">
        <v>54</v>
      </c>
      <c r="D6558">
        <v>2018</v>
      </c>
      <c r="E6558" t="s">
        <v>138</v>
      </c>
      <c r="F6558" t="s">
        <v>14</v>
      </c>
      <c r="G6558" t="s">
        <v>26</v>
      </c>
      <c r="H6558" t="s">
        <v>40</v>
      </c>
      <c r="I6558">
        <v>7.0017381000000004E-2</v>
      </c>
      <c r="K6558">
        <v>89.351399999999998</v>
      </c>
      <c r="L6558">
        <v>4</v>
      </c>
    </row>
    <row r="6559" spans="1:12" x14ac:dyDescent="0.3">
      <c r="A6559" t="s">
        <v>10</v>
      </c>
      <c r="B6559" t="s">
        <v>193</v>
      </c>
      <c r="C6559" t="s">
        <v>153</v>
      </c>
      <c r="D6559">
        <v>2018</v>
      </c>
      <c r="E6559" t="s">
        <v>138</v>
      </c>
      <c r="F6559" t="s">
        <v>14</v>
      </c>
      <c r="G6559" t="s">
        <v>26</v>
      </c>
      <c r="H6559" t="s">
        <v>40</v>
      </c>
      <c r="I6559">
        <v>0.256152243</v>
      </c>
      <c r="K6559">
        <v>151.005</v>
      </c>
      <c r="L6559">
        <v>4</v>
      </c>
    </row>
    <row r="6560" spans="1:12" x14ac:dyDescent="0.3">
      <c r="A6560" t="s">
        <v>10</v>
      </c>
      <c r="B6560" t="s">
        <v>1336</v>
      </c>
      <c r="C6560" t="s">
        <v>153</v>
      </c>
      <c r="D6560">
        <v>2018</v>
      </c>
      <c r="E6560" t="s">
        <v>138</v>
      </c>
      <c r="F6560" t="s">
        <v>14</v>
      </c>
      <c r="G6560" t="s">
        <v>26</v>
      </c>
      <c r="H6560" t="s">
        <v>40</v>
      </c>
      <c r="I6560">
        <v>0.24554262700000001</v>
      </c>
      <c r="K6560">
        <v>172.2764</v>
      </c>
      <c r="L6560">
        <v>4</v>
      </c>
    </row>
    <row r="6561" spans="1:12" x14ac:dyDescent="0.3">
      <c r="A6561" t="s">
        <v>10</v>
      </c>
      <c r="B6561" t="s">
        <v>192</v>
      </c>
      <c r="C6561" t="s">
        <v>153</v>
      </c>
      <c r="D6561">
        <v>2018</v>
      </c>
      <c r="E6561" t="s">
        <v>138</v>
      </c>
      <c r="F6561" t="s">
        <v>14</v>
      </c>
      <c r="G6561" t="s">
        <v>26</v>
      </c>
      <c r="H6561" t="s">
        <v>40</v>
      </c>
      <c r="I6561">
        <v>0</v>
      </c>
      <c r="K6561">
        <v>184.35820000000001</v>
      </c>
      <c r="L6561">
        <v>4</v>
      </c>
    </row>
    <row r="6562" spans="1:12" x14ac:dyDescent="0.3">
      <c r="A6562" t="s">
        <v>10</v>
      </c>
      <c r="B6562" t="s">
        <v>903</v>
      </c>
      <c r="C6562" t="s">
        <v>48</v>
      </c>
      <c r="D6562">
        <v>2018</v>
      </c>
      <c r="E6562" t="s">
        <v>138</v>
      </c>
      <c r="F6562" t="s">
        <v>14</v>
      </c>
      <c r="G6562" t="s">
        <v>26</v>
      </c>
      <c r="H6562" t="s">
        <v>40</v>
      </c>
      <c r="I6562">
        <v>2.363057E-2</v>
      </c>
      <c r="K6562">
        <v>141.71539999999999</v>
      </c>
      <c r="L6562">
        <v>4</v>
      </c>
    </row>
    <row r="6563" spans="1:12" x14ac:dyDescent="0.3">
      <c r="A6563" t="s">
        <v>10</v>
      </c>
      <c r="B6563" t="s">
        <v>1163</v>
      </c>
      <c r="C6563" t="s">
        <v>48</v>
      </c>
      <c r="D6563">
        <v>2018</v>
      </c>
      <c r="E6563" t="s">
        <v>138</v>
      </c>
      <c r="F6563" t="s">
        <v>14</v>
      </c>
      <c r="G6563" t="s">
        <v>26</v>
      </c>
      <c r="H6563" t="s">
        <v>40</v>
      </c>
      <c r="I6563">
        <v>0.30247887099999998</v>
      </c>
      <c r="K6563">
        <v>155.49719999999999</v>
      </c>
      <c r="L6563">
        <v>4</v>
      </c>
    </row>
    <row r="6564" spans="1:12" x14ac:dyDescent="0.3">
      <c r="A6564" t="s">
        <v>10</v>
      </c>
      <c r="B6564" t="s">
        <v>699</v>
      </c>
      <c r="C6564" t="s">
        <v>48</v>
      </c>
      <c r="D6564">
        <v>2018</v>
      </c>
      <c r="E6564" t="s">
        <v>138</v>
      </c>
      <c r="F6564" t="s">
        <v>14</v>
      </c>
      <c r="G6564" t="s">
        <v>26</v>
      </c>
      <c r="H6564" t="s">
        <v>40</v>
      </c>
      <c r="I6564">
        <v>5.7620562E-2</v>
      </c>
      <c r="K6564">
        <v>115.45180000000001</v>
      </c>
      <c r="L6564">
        <v>4</v>
      </c>
    </row>
    <row r="6565" spans="1:12" x14ac:dyDescent="0.3">
      <c r="A6565" t="s">
        <v>10</v>
      </c>
      <c r="B6565" t="s">
        <v>1098</v>
      </c>
      <c r="C6565" t="s">
        <v>48</v>
      </c>
      <c r="D6565">
        <v>2018</v>
      </c>
      <c r="E6565" t="s">
        <v>138</v>
      </c>
      <c r="F6565" t="s">
        <v>14</v>
      </c>
      <c r="G6565" t="s">
        <v>26</v>
      </c>
      <c r="H6565" t="s">
        <v>40</v>
      </c>
      <c r="I6565">
        <v>4.5068891999999999E-2</v>
      </c>
      <c r="K6565">
        <v>190.88720000000001</v>
      </c>
      <c r="L6565">
        <v>4</v>
      </c>
    </row>
    <row r="6566" spans="1:12" x14ac:dyDescent="0.3">
      <c r="A6566" t="s">
        <v>10</v>
      </c>
      <c r="B6566" t="s">
        <v>1100</v>
      </c>
      <c r="C6566" t="s">
        <v>48</v>
      </c>
      <c r="D6566">
        <v>2018</v>
      </c>
      <c r="E6566" t="s">
        <v>138</v>
      </c>
      <c r="F6566" t="s">
        <v>14</v>
      </c>
      <c r="G6566" t="s">
        <v>26</v>
      </c>
      <c r="H6566" t="s">
        <v>40</v>
      </c>
      <c r="I6566">
        <v>0.13432761300000001</v>
      </c>
      <c r="K6566">
        <v>35.055799999999998</v>
      </c>
      <c r="L6566">
        <v>4</v>
      </c>
    </row>
    <row r="6567" spans="1:12" x14ac:dyDescent="0.3">
      <c r="A6567" t="s">
        <v>10</v>
      </c>
      <c r="B6567" t="s">
        <v>261</v>
      </c>
      <c r="C6567" t="s">
        <v>48</v>
      </c>
      <c r="D6567">
        <v>2018</v>
      </c>
      <c r="E6567" t="s">
        <v>138</v>
      </c>
      <c r="F6567" t="s">
        <v>14</v>
      </c>
      <c r="G6567" t="s">
        <v>26</v>
      </c>
      <c r="H6567" t="s">
        <v>40</v>
      </c>
      <c r="I6567">
        <v>1.9227815999999998E-2</v>
      </c>
      <c r="K6567">
        <v>163.98419999999999</v>
      </c>
      <c r="L6567">
        <v>4</v>
      </c>
    </row>
    <row r="6568" spans="1:12" x14ac:dyDescent="0.3">
      <c r="A6568" t="s">
        <v>10</v>
      </c>
      <c r="B6568" t="s">
        <v>520</v>
      </c>
      <c r="C6568" t="s">
        <v>32</v>
      </c>
      <c r="D6568">
        <v>2018</v>
      </c>
      <c r="E6568" t="s">
        <v>138</v>
      </c>
      <c r="F6568" t="s">
        <v>14</v>
      </c>
      <c r="G6568" t="s">
        <v>26</v>
      </c>
      <c r="H6568" t="s">
        <v>40</v>
      </c>
      <c r="I6568">
        <v>0.223985293</v>
      </c>
      <c r="K6568">
        <v>186.29239999999999</v>
      </c>
      <c r="L6568">
        <v>4</v>
      </c>
    </row>
    <row r="6569" spans="1:12" x14ac:dyDescent="0.3">
      <c r="A6569" t="s">
        <v>10</v>
      </c>
      <c r="B6569" t="s">
        <v>960</v>
      </c>
      <c r="C6569" t="s">
        <v>32</v>
      </c>
      <c r="D6569">
        <v>2018</v>
      </c>
      <c r="E6569" t="s">
        <v>138</v>
      </c>
      <c r="F6569" t="s">
        <v>14</v>
      </c>
      <c r="G6569" t="s">
        <v>26</v>
      </c>
      <c r="H6569" t="s">
        <v>40</v>
      </c>
      <c r="I6569">
        <v>0.13511877</v>
      </c>
      <c r="K6569">
        <v>232.9958</v>
      </c>
      <c r="L6569">
        <v>4</v>
      </c>
    </row>
    <row r="6570" spans="1:12"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866</v>
      </c>
      <c r="C6740" t="s">
        <v>95</v>
      </c>
      <c r="D6740">
        <v>2016</v>
      </c>
      <c r="E6740" t="s">
        <v>25</v>
      </c>
      <c r="F6740" t="s">
        <v>14</v>
      </c>
      <c r="G6740" t="s">
        <v>26</v>
      </c>
      <c r="H6740" t="s">
        <v>16</v>
      </c>
      <c r="I6740">
        <v>0.116673795</v>
      </c>
      <c r="J6740">
        <v>10.5</v>
      </c>
      <c r="K6740">
        <v>161.721</v>
      </c>
      <c r="L6740">
        <v>4</v>
      </c>
    </row>
    <row r="6741" spans="1:12"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
      <c r="A6743" t="s">
        <v>10</v>
      </c>
      <c r="B6743" t="s">
        <v>802</v>
      </c>
      <c r="C6743" t="s">
        <v>95</v>
      </c>
      <c r="D6743">
        <v>2016</v>
      </c>
      <c r="E6743" t="s">
        <v>25</v>
      </c>
      <c r="F6743" t="s">
        <v>14</v>
      </c>
      <c r="G6743" t="s">
        <v>26</v>
      </c>
      <c r="H6743" t="s">
        <v>16</v>
      </c>
      <c r="I6743">
        <v>0.106752081</v>
      </c>
      <c r="J6743">
        <v>16</v>
      </c>
      <c r="K6743">
        <v>181.46340000000001</v>
      </c>
      <c r="L6743">
        <v>4</v>
      </c>
    </row>
    <row r="6744" spans="1:12" x14ac:dyDescent="0.3">
      <c r="A6744" t="s">
        <v>10</v>
      </c>
      <c r="B6744" t="s">
        <v>121</v>
      </c>
      <c r="C6744" t="s">
        <v>95</v>
      </c>
      <c r="D6744">
        <v>2016</v>
      </c>
      <c r="E6744" t="s">
        <v>25</v>
      </c>
      <c r="F6744" t="s">
        <v>14</v>
      </c>
      <c r="G6744" t="s">
        <v>26</v>
      </c>
      <c r="H6744" t="s">
        <v>16</v>
      </c>
      <c r="I6744">
        <v>7.9296469999999994E-2</v>
      </c>
      <c r="J6744">
        <v>20.7</v>
      </c>
      <c r="K6744">
        <v>97.2042</v>
      </c>
      <c r="L6744">
        <v>4</v>
      </c>
    </row>
    <row r="6745" spans="1:12"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
      <c r="A6748" t="s">
        <v>10</v>
      </c>
      <c r="B6748" t="s">
        <v>1090</v>
      </c>
      <c r="C6748" t="s">
        <v>57</v>
      </c>
      <c r="D6748">
        <v>2016</v>
      </c>
      <c r="E6748" t="s">
        <v>25</v>
      </c>
      <c r="F6748" t="s">
        <v>14</v>
      </c>
      <c r="G6748" t="s">
        <v>26</v>
      </c>
      <c r="H6748" t="s">
        <v>16</v>
      </c>
      <c r="I6748">
        <v>5.4484460999999998E-2</v>
      </c>
      <c r="J6748">
        <v>8.6</v>
      </c>
      <c r="K6748">
        <v>130.131</v>
      </c>
      <c r="L6748">
        <v>4</v>
      </c>
    </row>
    <row r="6749" spans="1:12"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396</v>
      </c>
      <c r="C6756" t="s">
        <v>28</v>
      </c>
      <c r="D6756">
        <v>2016</v>
      </c>
      <c r="E6756" t="s">
        <v>25</v>
      </c>
      <c r="F6756" t="s">
        <v>14</v>
      </c>
      <c r="G6756" t="s">
        <v>26</v>
      </c>
      <c r="H6756" t="s">
        <v>16</v>
      </c>
      <c r="I6756">
        <v>0.16143544000000001</v>
      </c>
      <c r="J6756">
        <v>15</v>
      </c>
      <c r="K6756">
        <v>185.1266</v>
      </c>
      <c r="L6756">
        <v>4</v>
      </c>
    </row>
    <row r="6757" spans="1:12"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1458</v>
      </c>
      <c r="C6758" t="s">
        <v>28</v>
      </c>
      <c r="D6758">
        <v>2016</v>
      </c>
      <c r="E6758" t="s">
        <v>25</v>
      </c>
      <c r="F6758" t="s">
        <v>14</v>
      </c>
      <c r="G6758" t="s">
        <v>26</v>
      </c>
      <c r="H6758" t="s">
        <v>16</v>
      </c>
      <c r="I6758">
        <v>2.7617045999999999E-2</v>
      </c>
      <c r="J6758">
        <v>15.7</v>
      </c>
      <c r="K6758">
        <v>168.279</v>
      </c>
      <c r="L6758">
        <v>4</v>
      </c>
    </row>
    <row r="6759" spans="1:12"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1415</v>
      </c>
      <c r="C6771" t="s">
        <v>24</v>
      </c>
      <c r="D6771">
        <v>2016</v>
      </c>
      <c r="E6771" t="s">
        <v>25</v>
      </c>
      <c r="F6771" t="s">
        <v>14</v>
      </c>
      <c r="G6771" t="s">
        <v>26</v>
      </c>
      <c r="H6771" t="s">
        <v>16</v>
      </c>
      <c r="I6771">
        <v>8.7847141000000004E-2</v>
      </c>
      <c r="J6771">
        <v>11</v>
      </c>
      <c r="K6771">
        <v>156.863</v>
      </c>
      <c r="L6771">
        <v>4</v>
      </c>
    </row>
    <row r="6772" spans="1:12" x14ac:dyDescent="0.3">
      <c r="A6772" t="s">
        <v>10</v>
      </c>
      <c r="B6772" t="s">
        <v>126</v>
      </c>
      <c r="C6772" t="s">
        <v>24</v>
      </c>
      <c r="D6772">
        <v>2016</v>
      </c>
      <c r="E6772" t="s">
        <v>25</v>
      </c>
      <c r="F6772" t="s">
        <v>14</v>
      </c>
      <c r="G6772" t="s">
        <v>26</v>
      </c>
      <c r="H6772" t="s">
        <v>16</v>
      </c>
      <c r="I6772">
        <v>6.6729996E-2</v>
      </c>
      <c r="J6772">
        <v>11.3</v>
      </c>
      <c r="K6772">
        <v>257.2962</v>
      </c>
      <c r="L6772">
        <v>4</v>
      </c>
    </row>
    <row r="6773" spans="1:12"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1536</v>
      </c>
      <c r="C6780" t="s">
        <v>12</v>
      </c>
      <c r="D6780">
        <v>2016</v>
      </c>
      <c r="E6780" t="s">
        <v>25</v>
      </c>
      <c r="F6780" t="s">
        <v>14</v>
      </c>
      <c r="G6780" t="s">
        <v>26</v>
      </c>
      <c r="H6780" t="s">
        <v>16</v>
      </c>
      <c r="I6780">
        <v>0.107057186</v>
      </c>
      <c r="J6780">
        <v>5.46</v>
      </c>
      <c r="K6780">
        <v>144.9786</v>
      </c>
      <c r="L6780">
        <v>4</v>
      </c>
    </row>
    <row r="6781" spans="1:12"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280</v>
      </c>
      <c r="C6786" t="s">
        <v>12</v>
      </c>
      <c r="D6786">
        <v>2016</v>
      </c>
      <c r="E6786" t="s">
        <v>25</v>
      </c>
      <c r="F6786" t="s">
        <v>14</v>
      </c>
      <c r="G6786" t="s">
        <v>26</v>
      </c>
      <c r="H6786" t="s">
        <v>16</v>
      </c>
      <c r="I6786">
        <v>0.132083542</v>
      </c>
      <c r="J6786">
        <v>12.15</v>
      </c>
      <c r="K6786">
        <v>189.5872</v>
      </c>
      <c r="L6786">
        <v>4</v>
      </c>
    </row>
    <row r="6787" spans="1:12"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
      <c r="A6788" t="s">
        <v>10</v>
      </c>
      <c r="B6788" t="s">
        <v>1158</v>
      </c>
      <c r="C6788" t="s">
        <v>12</v>
      </c>
      <c r="D6788">
        <v>2016</v>
      </c>
      <c r="E6788" t="s">
        <v>25</v>
      </c>
      <c r="F6788" t="s">
        <v>14</v>
      </c>
      <c r="G6788" t="s">
        <v>26</v>
      </c>
      <c r="H6788" t="s">
        <v>16</v>
      </c>
      <c r="I6788">
        <v>4.1557653E-2</v>
      </c>
      <c r="J6788">
        <v>12.6</v>
      </c>
      <c r="K6788">
        <v>124.5072</v>
      </c>
      <c r="L6788">
        <v>4</v>
      </c>
    </row>
    <row r="6789" spans="1:12"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
      <c r="A6793" t="s">
        <v>10</v>
      </c>
      <c r="B6793" t="s">
        <v>71</v>
      </c>
      <c r="C6793" t="s">
        <v>12</v>
      </c>
      <c r="D6793">
        <v>2016</v>
      </c>
      <c r="E6793" t="s">
        <v>25</v>
      </c>
      <c r="F6793" t="s">
        <v>14</v>
      </c>
      <c r="G6793" t="s">
        <v>26</v>
      </c>
      <c r="H6793" t="s">
        <v>16</v>
      </c>
      <c r="I6793">
        <v>1.6596645E-2</v>
      </c>
      <c r="J6793">
        <v>17.7</v>
      </c>
      <c r="K6793">
        <v>48.303400000000003</v>
      </c>
      <c r="L6793">
        <v>4</v>
      </c>
    </row>
    <row r="6794" spans="1:12"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783</v>
      </c>
      <c r="C6796" t="s">
        <v>12</v>
      </c>
      <c r="D6796">
        <v>2016</v>
      </c>
      <c r="E6796" t="s">
        <v>25</v>
      </c>
      <c r="F6796" t="s">
        <v>14</v>
      </c>
      <c r="G6796" t="s">
        <v>26</v>
      </c>
      <c r="H6796" t="s">
        <v>16</v>
      </c>
      <c r="I6796">
        <v>6.5633934000000005E-2</v>
      </c>
      <c r="J6796">
        <v>19</v>
      </c>
      <c r="K6796">
        <v>186.5214</v>
      </c>
      <c r="L6796">
        <v>4</v>
      </c>
    </row>
    <row r="6797" spans="1:12" x14ac:dyDescent="0.3">
      <c r="A6797" t="s">
        <v>10</v>
      </c>
      <c r="B6797" t="s">
        <v>55</v>
      </c>
      <c r="C6797" t="s">
        <v>12</v>
      </c>
      <c r="D6797">
        <v>2016</v>
      </c>
      <c r="E6797" t="s">
        <v>25</v>
      </c>
      <c r="F6797" t="s">
        <v>14</v>
      </c>
      <c r="G6797" t="s">
        <v>26</v>
      </c>
      <c r="H6797" t="s">
        <v>16</v>
      </c>
      <c r="I6797">
        <v>1.8805104999999999E-2</v>
      </c>
      <c r="J6797">
        <v>20.25</v>
      </c>
      <c r="K6797">
        <v>220.6772</v>
      </c>
      <c r="L6797">
        <v>4</v>
      </c>
    </row>
    <row r="6798" spans="1:12"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
      <c r="A6807" t="s">
        <v>10</v>
      </c>
      <c r="B6807" t="s">
        <v>1337</v>
      </c>
      <c r="C6807" t="s">
        <v>48</v>
      </c>
      <c r="D6807">
        <v>2016</v>
      </c>
      <c r="E6807" t="s">
        <v>25</v>
      </c>
      <c r="F6807" t="s">
        <v>14</v>
      </c>
      <c r="G6807" t="s">
        <v>26</v>
      </c>
      <c r="H6807" t="s">
        <v>16</v>
      </c>
      <c r="I6807">
        <v>0.13642839500000001</v>
      </c>
      <c r="J6807">
        <v>6.89</v>
      </c>
      <c r="K6807">
        <v>193.982</v>
      </c>
      <c r="L6807">
        <v>4</v>
      </c>
    </row>
    <row r="6808" spans="1:12"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
      <c r="A6815" t="s">
        <v>10</v>
      </c>
      <c r="B6815" t="s">
        <v>501</v>
      </c>
      <c r="C6815" t="s">
        <v>48</v>
      </c>
      <c r="D6815">
        <v>2016</v>
      </c>
      <c r="E6815" t="s">
        <v>25</v>
      </c>
      <c r="F6815" t="s">
        <v>14</v>
      </c>
      <c r="G6815" t="s">
        <v>26</v>
      </c>
      <c r="H6815" t="s">
        <v>16</v>
      </c>
      <c r="I6815">
        <v>3.0624843999999998E-2</v>
      </c>
      <c r="J6815">
        <v>15.7</v>
      </c>
      <c r="K6815">
        <v>252.2724</v>
      </c>
      <c r="L6815">
        <v>4</v>
      </c>
    </row>
    <row r="6816" spans="1:12"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x14ac:dyDescent="0.3">
      <c r="A6817" t="s">
        <v>10</v>
      </c>
      <c r="B6817" t="s">
        <v>444</v>
      </c>
      <c r="C6817" t="s">
        <v>48</v>
      </c>
      <c r="D6817">
        <v>2016</v>
      </c>
      <c r="E6817" t="s">
        <v>25</v>
      </c>
      <c r="F6817" t="s">
        <v>14</v>
      </c>
      <c r="G6817" t="s">
        <v>26</v>
      </c>
      <c r="H6817" t="s">
        <v>16</v>
      </c>
      <c r="I6817">
        <v>0.15972067100000001</v>
      </c>
      <c r="J6817">
        <v>16.5</v>
      </c>
      <c r="K6817">
        <v>144.5128</v>
      </c>
      <c r="L6817">
        <v>4</v>
      </c>
    </row>
    <row r="6818" spans="1:12"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x14ac:dyDescent="0.3">
      <c r="A6828" t="s">
        <v>10</v>
      </c>
      <c r="B6828" t="s">
        <v>1544</v>
      </c>
      <c r="C6828" t="s">
        <v>95</v>
      </c>
      <c r="D6828">
        <v>2016</v>
      </c>
      <c r="E6828" t="s">
        <v>25</v>
      </c>
      <c r="F6828" t="s">
        <v>14</v>
      </c>
      <c r="G6828" t="s">
        <v>26</v>
      </c>
      <c r="H6828" t="s">
        <v>16</v>
      </c>
      <c r="I6828">
        <v>8.0737030000000001E-2</v>
      </c>
      <c r="J6828">
        <v>19.7</v>
      </c>
      <c r="K6828">
        <v>197.011</v>
      </c>
      <c r="L6828">
        <v>4</v>
      </c>
    </row>
    <row r="6829" spans="1:12"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
      <c r="A7162" t="s">
        <v>10</v>
      </c>
      <c r="B7162" t="s">
        <v>419</v>
      </c>
      <c r="C7162" t="s">
        <v>95</v>
      </c>
      <c r="D7162">
        <v>2015</v>
      </c>
      <c r="E7162" t="s">
        <v>33</v>
      </c>
      <c r="F7162" t="s">
        <v>34</v>
      </c>
      <c r="G7162" t="s">
        <v>30</v>
      </c>
      <c r="H7162" t="s">
        <v>16</v>
      </c>
      <c r="I7162">
        <v>4.1857101000000001E-2</v>
      </c>
      <c r="J7162">
        <v>5.26</v>
      </c>
      <c r="K7162">
        <v>162.7868</v>
      </c>
      <c r="L7162">
        <v>4</v>
      </c>
    </row>
    <row r="7163" spans="1:12"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
      <c r="A7170" t="s">
        <v>10</v>
      </c>
      <c r="B7170" t="s">
        <v>802</v>
      </c>
      <c r="C7170" t="s">
        <v>95</v>
      </c>
      <c r="D7170">
        <v>2015</v>
      </c>
      <c r="E7170" t="s">
        <v>33</v>
      </c>
      <c r="F7170" t="s">
        <v>34</v>
      </c>
      <c r="G7170" t="s">
        <v>30</v>
      </c>
      <c r="H7170" t="s">
        <v>16</v>
      </c>
      <c r="I7170">
        <v>0.106968577</v>
      </c>
      <c r="J7170">
        <v>16</v>
      </c>
      <c r="K7170">
        <v>180.5634</v>
      </c>
      <c r="L7170">
        <v>4</v>
      </c>
    </row>
    <row r="7171" spans="1:12" x14ac:dyDescent="0.3">
      <c r="A7171" t="s">
        <v>10</v>
      </c>
      <c r="B7171" t="s">
        <v>1605</v>
      </c>
      <c r="C7171" t="s">
        <v>95</v>
      </c>
      <c r="D7171">
        <v>2015</v>
      </c>
      <c r="E7171" t="s">
        <v>33</v>
      </c>
      <c r="F7171" t="s">
        <v>34</v>
      </c>
      <c r="G7171" t="s">
        <v>30</v>
      </c>
      <c r="H7171" t="s">
        <v>16</v>
      </c>
      <c r="I7171">
        <v>6.0022526E-2</v>
      </c>
      <c r="J7171">
        <v>20</v>
      </c>
      <c r="K7171">
        <v>168.7132</v>
      </c>
      <c r="L7171">
        <v>4</v>
      </c>
    </row>
    <row r="7172" spans="1:12"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711</v>
      </c>
      <c r="C7179" t="s">
        <v>28</v>
      </c>
      <c r="D7179">
        <v>2015</v>
      </c>
      <c r="E7179" t="s">
        <v>33</v>
      </c>
      <c r="F7179" t="s">
        <v>34</v>
      </c>
      <c r="G7179" t="s">
        <v>30</v>
      </c>
      <c r="H7179" t="s">
        <v>16</v>
      </c>
      <c r="I7179">
        <v>0.13341564</v>
      </c>
      <c r="J7179">
        <v>11</v>
      </c>
      <c r="K7179">
        <v>218.77979999999999</v>
      </c>
      <c r="L7179">
        <v>4</v>
      </c>
    </row>
    <row r="7180" spans="1:12"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
      <c r="A7181" t="s">
        <v>10</v>
      </c>
      <c r="B7181" t="s">
        <v>884</v>
      </c>
      <c r="C7181" t="s">
        <v>28</v>
      </c>
      <c r="D7181">
        <v>2015</v>
      </c>
      <c r="E7181" t="s">
        <v>33</v>
      </c>
      <c r="F7181" t="s">
        <v>34</v>
      </c>
      <c r="G7181" t="s">
        <v>30</v>
      </c>
      <c r="H7181" t="s">
        <v>16</v>
      </c>
      <c r="I7181">
        <v>3.1508924000000001E-2</v>
      </c>
      <c r="J7181">
        <v>13.65</v>
      </c>
      <c r="K7181">
        <v>98.77</v>
      </c>
      <c r="L7181">
        <v>4</v>
      </c>
    </row>
    <row r="7182" spans="1:12"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1458</v>
      </c>
      <c r="C7184" t="s">
        <v>28</v>
      </c>
      <c r="D7184">
        <v>2015</v>
      </c>
      <c r="E7184" t="s">
        <v>33</v>
      </c>
      <c r="F7184" t="s">
        <v>34</v>
      </c>
      <c r="G7184" t="s">
        <v>30</v>
      </c>
      <c r="H7184" t="s">
        <v>16</v>
      </c>
      <c r="I7184">
        <v>2.7673054999999998E-2</v>
      </c>
      <c r="J7184">
        <v>15.7</v>
      </c>
      <c r="K7184">
        <v>169.279</v>
      </c>
      <c r="L7184">
        <v>4</v>
      </c>
    </row>
    <row r="7185" spans="1:12"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786</v>
      </c>
      <c r="C7188" t="s">
        <v>28</v>
      </c>
      <c r="D7188">
        <v>2015</v>
      </c>
      <c r="E7188" t="s">
        <v>33</v>
      </c>
      <c r="F7188" t="s">
        <v>34</v>
      </c>
      <c r="G7188" t="s">
        <v>30</v>
      </c>
      <c r="H7188" t="s">
        <v>16</v>
      </c>
      <c r="I7188">
        <v>8.5122854999999997E-2</v>
      </c>
      <c r="J7188">
        <v>19.2</v>
      </c>
      <c r="K7188">
        <v>155.4314</v>
      </c>
      <c r="L7188">
        <v>4</v>
      </c>
    </row>
    <row r="7189" spans="1:12" x14ac:dyDescent="0.3">
      <c r="A7189" t="s">
        <v>10</v>
      </c>
      <c r="B7189" t="s">
        <v>966</v>
      </c>
      <c r="C7189" t="s">
        <v>28</v>
      </c>
      <c r="D7189">
        <v>2015</v>
      </c>
      <c r="E7189" t="s">
        <v>33</v>
      </c>
      <c r="F7189" t="s">
        <v>34</v>
      </c>
      <c r="G7189" t="s">
        <v>30</v>
      </c>
      <c r="H7189" t="s">
        <v>16</v>
      </c>
      <c r="I7189">
        <v>3.4770109E-2</v>
      </c>
      <c r="J7189">
        <v>19.25</v>
      </c>
      <c r="K7189">
        <v>141.9496</v>
      </c>
      <c r="L7189">
        <v>4</v>
      </c>
    </row>
    <row r="7190" spans="1:12" x14ac:dyDescent="0.3">
      <c r="A7190" t="s">
        <v>10</v>
      </c>
      <c r="B7190" t="s">
        <v>123</v>
      </c>
      <c r="C7190" t="s">
        <v>28</v>
      </c>
      <c r="D7190">
        <v>2015</v>
      </c>
      <c r="E7190" t="s">
        <v>33</v>
      </c>
      <c r="F7190" t="s">
        <v>34</v>
      </c>
      <c r="G7190" t="s">
        <v>30</v>
      </c>
      <c r="H7190" t="s">
        <v>16</v>
      </c>
      <c r="I7190">
        <v>3.075661E-2</v>
      </c>
      <c r="J7190">
        <v>19.5</v>
      </c>
      <c r="K7190">
        <v>86.254000000000005</v>
      </c>
      <c r="L7190">
        <v>4</v>
      </c>
    </row>
    <row r="7191" spans="1:12" x14ac:dyDescent="0.3">
      <c r="A7191" t="s">
        <v>10</v>
      </c>
      <c r="B7191" t="s">
        <v>1358</v>
      </c>
      <c r="C7191" t="s">
        <v>28</v>
      </c>
      <c r="D7191">
        <v>2015</v>
      </c>
      <c r="E7191" t="s">
        <v>33</v>
      </c>
      <c r="F7191" t="s">
        <v>34</v>
      </c>
      <c r="G7191" t="s">
        <v>30</v>
      </c>
      <c r="H7191" t="s">
        <v>16</v>
      </c>
      <c r="I7191">
        <v>1.6238512E-2</v>
      </c>
      <c r="J7191">
        <v>19.7</v>
      </c>
      <c r="K7191">
        <v>186.4556</v>
      </c>
      <c r="L7191">
        <v>4</v>
      </c>
    </row>
    <row r="7192" spans="1:12"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1120</v>
      </c>
      <c r="C7194" t="s">
        <v>67</v>
      </c>
      <c r="D7194">
        <v>2015</v>
      </c>
      <c r="E7194" t="s">
        <v>33</v>
      </c>
      <c r="F7194" t="s">
        <v>34</v>
      </c>
      <c r="G7194" t="s">
        <v>30</v>
      </c>
      <c r="H7194" t="s">
        <v>16</v>
      </c>
      <c r="I7194">
        <v>6.8010049000000003E-2</v>
      </c>
      <c r="J7194">
        <v>13.5</v>
      </c>
      <c r="K7194">
        <v>57.2562</v>
      </c>
      <c r="L7194">
        <v>4</v>
      </c>
    </row>
    <row r="7195" spans="1:12"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939</v>
      </c>
      <c r="C7199" t="s">
        <v>24</v>
      </c>
      <c r="D7199">
        <v>2015</v>
      </c>
      <c r="E7199" t="s">
        <v>33</v>
      </c>
      <c r="F7199" t="s">
        <v>34</v>
      </c>
      <c r="G7199" t="s">
        <v>30</v>
      </c>
      <c r="H7199" t="s">
        <v>16</v>
      </c>
      <c r="I7199">
        <v>0</v>
      </c>
      <c r="J7199">
        <v>7.47</v>
      </c>
      <c r="K7199">
        <v>211.8218</v>
      </c>
      <c r="L7199">
        <v>4</v>
      </c>
    </row>
    <row r="7200" spans="1:12"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1257</v>
      </c>
      <c r="C7212" t="s">
        <v>12</v>
      </c>
      <c r="D7212">
        <v>2015</v>
      </c>
      <c r="E7212" t="s">
        <v>33</v>
      </c>
      <c r="F7212" t="s">
        <v>34</v>
      </c>
      <c r="G7212" t="s">
        <v>30</v>
      </c>
      <c r="H7212" t="s">
        <v>16</v>
      </c>
      <c r="I7212">
        <v>4.5073782E-2</v>
      </c>
      <c r="J7212">
        <v>10.195</v>
      </c>
      <c r="K7212">
        <v>119.1808</v>
      </c>
      <c r="L7212">
        <v>4</v>
      </c>
    </row>
    <row r="7213" spans="1:12" x14ac:dyDescent="0.3">
      <c r="A7213" t="s">
        <v>10</v>
      </c>
      <c r="B7213" t="s">
        <v>868</v>
      </c>
      <c r="C7213" t="s">
        <v>12</v>
      </c>
      <c r="D7213">
        <v>2015</v>
      </c>
      <c r="E7213" t="s">
        <v>33</v>
      </c>
      <c r="F7213" t="s">
        <v>34</v>
      </c>
      <c r="G7213" t="s">
        <v>30</v>
      </c>
      <c r="H7213" t="s">
        <v>16</v>
      </c>
      <c r="I7213">
        <v>0</v>
      </c>
      <c r="J7213">
        <v>10.3</v>
      </c>
      <c r="K7213">
        <v>189.053</v>
      </c>
      <c r="L7213">
        <v>4</v>
      </c>
    </row>
    <row r="7214" spans="1:12" x14ac:dyDescent="0.3">
      <c r="A7214" t="s">
        <v>10</v>
      </c>
      <c r="B7214" t="s">
        <v>815</v>
      </c>
      <c r="C7214" t="s">
        <v>12</v>
      </c>
      <c r="D7214">
        <v>2015</v>
      </c>
      <c r="E7214" t="s">
        <v>33</v>
      </c>
      <c r="F7214" t="s">
        <v>34</v>
      </c>
      <c r="G7214" t="s">
        <v>30</v>
      </c>
      <c r="H7214" t="s">
        <v>16</v>
      </c>
      <c r="I7214">
        <v>2.5041738000000001E-2</v>
      </c>
      <c r="J7214">
        <v>10.5</v>
      </c>
      <c r="K7214">
        <v>218.7508</v>
      </c>
      <c r="L7214">
        <v>4</v>
      </c>
    </row>
    <row r="7215" spans="1:12" x14ac:dyDescent="0.3">
      <c r="A7215" t="s">
        <v>10</v>
      </c>
      <c r="B7215" t="s">
        <v>427</v>
      </c>
      <c r="C7215" t="s">
        <v>12</v>
      </c>
      <c r="D7215">
        <v>2015</v>
      </c>
      <c r="E7215" t="s">
        <v>33</v>
      </c>
      <c r="F7215" t="s">
        <v>34</v>
      </c>
      <c r="G7215" t="s">
        <v>30</v>
      </c>
      <c r="H7215" t="s">
        <v>16</v>
      </c>
      <c r="I7215">
        <v>3.8578501000000001E-2</v>
      </c>
      <c r="J7215">
        <v>12.35</v>
      </c>
      <c r="K7215">
        <v>109.557</v>
      </c>
      <c r="L7215">
        <v>4</v>
      </c>
    </row>
    <row r="7216" spans="1:12"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
      <c r="A7217" t="s">
        <v>10</v>
      </c>
      <c r="B7217" t="s">
        <v>606</v>
      </c>
      <c r="C7217" t="s">
        <v>12</v>
      </c>
      <c r="D7217">
        <v>2015</v>
      </c>
      <c r="E7217" t="s">
        <v>33</v>
      </c>
      <c r="F7217" t="s">
        <v>34</v>
      </c>
      <c r="G7217" t="s">
        <v>30</v>
      </c>
      <c r="H7217" t="s">
        <v>16</v>
      </c>
      <c r="I7217">
        <v>4.4281995999999997E-2</v>
      </c>
      <c r="J7217">
        <v>13.1</v>
      </c>
      <c r="K7217">
        <v>178.5318</v>
      </c>
      <c r="L7217">
        <v>4</v>
      </c>
    </row>
    <row r="7218" spans="1:12"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806</v>
      </c>
      <c r="C7220" t="s">
        <v>12</v>
      </c>
      <c r="D7220">
        <v>2015</v>
      </c>
      <c r="E7220" t="s">
        <v>33</v>
      </c>
      <c r="F7220" t="s">
        <v>34</v>
      </c>
      <c r="G7220" t="s">
        <v>30</v>
      </c>
      <c r="H7220" t="s">
        <v>16</v>
      </c>
      <c r="I7220">
        <v>7.9875237000000002E-2</v>
      </c>
      <c r="J7220">
        <v>16.5</v>
      </c>
      <c r="K7220">
        <v>102.7332</v>
      </c>
      <c r="L7220">
        <v>4</v>
      </c>
    </row>
    <row r="7221" spans="1:12"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400</v>
      </c>
      <c r="C7224" t="s">
        <v>12</v>
      </c>
      <c r="D7224">
        <v>2015</v>
      </c>
      <c r="E7224" t="s">
        <v>33</v>
      </c>
      <c r="F7224" t="s">
        <v>34</v>
      </c>
      <c r="G7224" t="s">
        <v>30</v>
      </c>
      <c r="H7224" t="s">
        <v>16</v>
      </c>
      <c r="I7224">
        <v>0</v>
      </c>
      <c r="J7224">
        <v>20.350000000000001</v>
      </c>
      <c r="K7224">
        <v>234.4958</v>
      </c>
      <c r="L7224">
        <v>4</v>
      </c>
    </row>
    <row r="7225" spans="1:12" x14ac:dyDescent="0.3">
      <c r="A7225" t="s">
        <v>10</v>
      </c>
      <c r="B7225" t="s">
        <v>808</v>
      </c>
      <c r="C7225" t="s">
        <v>12</v>
      </c>
      <c r="D7225">
        <v>2015</v>
      </c>
      <c r="E7225" t="s">
        <v>33</v>
      </c>
      <c r="F7225" t="s">
        <v>34</v>
      </c>
      <c r="G7225" t="s">
        <v>30</v>
      </c>
      <c r="H7225" t="s">
        <v>16</v>
      </c>
      <c r="I7225">
        <v>4.80335E-2</v>
      </c>
      <c r="J7225">
        <v>20.6</v>
      </c>
      <c r="K7225">
        <v>188.25559999999999</v>
      </c>
      <c r="L7225">
        <v>4</v>
      </c>
    </row>
    <row r="7226" spans="1:12" x14ac:dyDescent="0.3">
      <c r="A7226" t="s">
        <v>10</v>
      </c>
      <c r="B7226" t="s">
        <v>620</v>
      </c>
      <c r="C7226" t="s">
        <v>12</v>
      </c>
      <c r="D7226">
        <v>2015</v>
      </c>
      <c r="E7226" t="s">
        <v>33</v>
      </c>
      <c r="F7226" t="s">
        <v>34</v>
      </c>
      <c r="G7226" t="s">
        <v>30</v>
      </c>
      <c r="H7226" t="s">
        <v>16</v>
      </c>
      <c r="I7226">
        <v>0.100378096</v>
      </c>
      <c r="J7226">
        <v>20.7</v>
      </c>
      <c r="K7226">
        <v>122.4388</v>
      </c>
      <c r="L7226">
        <v>4</v>
      </c>
    </row>
    <row r="7227" spans="1:12"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
      <c r="A7230" t="s">
        <v>10</v>
      </c>
      <c r="B7230" t="s">
        <v>129</v>
      </c>
      <c r="C7230" t="s">
        <v>54</v>
      </c>
      <c r="D7230">
        <v>2015</v>
      </c>
      <c r="E7230" t="s">
        <v>33</v>
      </c>
      <c r="F7230" t="s">
        <v>34</v>
      </c>
      <c r="G7230" t="s">
        <v>30</v>
      </c>
      <c r="H7230" t="s">
        <v>16</v>
      </c>
      <c r="I7230">
        <v>1.2483408E-2</v>
      </c>
      <c r="J7230">
        <v>10.195</v>
      </c>
      <c r="K7230">
        <v>195.411</v>
      </c>
      <c r="L7230">
        <v>4</v>
      </c>
    </row>
    <row r="7231" spans="1:12"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
      <c r="A7243" t="s">
        <v>10</v>
      </c>
      <c r="B7243" t="s">
        <v>810</v>
      </c>
      <c r="C7243" t="s">
        <v>48</v>
      </c>
      <c r="D7243">
        <v>2015</v>
      </c>
      <c r="E7243" t="s">
        <v>33</v>
      </c>
      <c r="F7243" t="s">
        <v>34</v>
      </c>
      <c r="G7243" t="s">
        <v>30</v>
      </c>
      <c r="H7243" t="s">
        <v>16</v>
      </c>
      <c r="I7243">
        <v>4.5073782E-2</v>
      </c>
      <c r="J7243">
        <v>11.35</v>
      </c>
      <c r="K7243">
        <v>101.9016</v>
      </c>
      <c r="L7243">
        <v>4</v>
      </c>
    </row>
    <row r="7244" spans="1:12"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
      <c r="A7248" t="s">
        <v>10</v>
      </c>
      <c r="B7248" t="s">
        <v>600</v>
      </c>
      <c r="C7248" t="s">
        <v>48</v>
      </c>
      <c r="D7248">
        <v>2015</v>
      </c>
      <c r="E7248" t="s">
        <v>33</v>
      </c>
      <c r="F7248" t="s">
        <v>34</v>
      </c>
      <c r="G7248" t="s">
        <v>30</v>
      </c>
      <c r="H7248" t="s">
        <v>16</v>
      </c>
      <c r="I7248">
        <v>0</v>
      </c>
      <c r="J7248">
        <v>15.25</v>
      </c>
      <c r="K7248">
        <v>178.166</v>
      </c>
      <c r="L7248">
        <v>4</v>
      </c>
    </row>
    <row r="7249" spans="1:12" x14ac:dyDescent="0.3">
      <c r="A7249" t="s">
        <v>10</v>
      </c>
      <c r="B7249" t="s">
        <v>1163</v>
      </c>
      <c r="C7249" t="s">
        <v>48</v>
      </c>
      <c r="D7249">
        <v>2015</v>
      </c>
      <c r="E7249" t="s">
        <v>33</v>
      </c>
      <c r="F7249" t="s">
        <v>34</v>
      </c>
      <c r="G7249" t="s">
        <v>30</v>
      </c>
      <c r="H7249" t="s">
        <v>16</v>
      </c>
      <c r="I7249">
        <v>0.173109453</v>
      </c>
      <c r="J7249">
        <v>16</v>
      </c>
      <c r="K7249">
        <v>155.2972</v>
      </c>
      <c r="L7249">
        <v>4</v>
      </c>
    </row>
    <row r="7250" spans="1:12"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1213</v>
      </c>
      <c r="C7255" t="s">
        <v>159</v>
      </c>
      <c r="D7255">
        <v>2015</v>
      </c>
      <c r="E7255" t="s">
        <v>33</v>
      </c>
      <c r="F7255" t="s">
        <v>34</v>
      </c>
      <c r="G7255" t="s">
        <v>30</v>
      </c>
      <c r="H7255" t="s">
        <v>16</v>
      </c>
      <c r="I7255">
        <v>1.7666978E-2</v>
      </c>
      <c r="J7255">
        <v>10.195</v>
      </c>
      <c r="K7255">
        <v>239.4538</v>
      </c>
      <c r="L7255">
        <v>4</v>
      </c>
    </row>
    <row r="7256" spans="1:12"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x14ac:dyDescent="0.3">
      <c r="A7263" t="s">
        <v>10</v>
      </c>
      <c r="B7263" t="s">
        <v>1544</v>
      </c>
      <c r="C7263" t="s">
        <v>95</v>
      </c>
      <c r="D7263">
        <v>2020</v>
      </c>
      <c r="E7263" t="s">
        <v>37</v>
      </c>
      <c r="F7263" t="s">
        <v>34</v>
      </c>
      <c r="G7263" t="s">
        <v>30</v>
      </c>
      <c r="H7263" t="s">
        <v>16</v>
      </c>
      <c r="I7263">
        <v>8.1193712000000001E-2</v>
      </c>
      <c r="J7263">
        <v>19.7</v>
      </c>
      <c r="K7263">
        <v>198.411</v>
      </c>
      <c r="L7263">
        <v>4</v>
      </c>
    </row>
    <row r="7264" spans="1:12" x14ac:dyDescent="0.3">
      <c r="A7264" t="s">
        <v>10</v>
      </c>
      <c r="B7264" t="s">
        <v>121</v>
      </c>
      <c r="C7264" t="s">
        <v>95</v>
      </c>
      <c r="D7264">
        <v>2020</v>
      </c>
      <c r="E7264" t="s">
        <v>37</v>
      </c>
      <c r="F7264" t="s">
        <v>34</v>
      </c>
      <c r="G7264" t="s">
        <v>30</v>
      </c>
      <c r="H7264" t="s">
        <v>16</v>
      </c>
      <c r="I7264">
        <v>0</v>
      </c>
      <c r="J7264">
        <v>20.7</v>
      </c>
      <c r="K7264">
        <v>98.7042</v>
      </c>
      <c r="L7264">
        <v>4</v>
      </c>
    </row>
    <row r="7265" spans="1:12"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1269</v>
      </c>
      <c r="C7269" t="s">
        <v>28</v>
      </c>
      <c r="D7269">
        <v>2020</v>
      </c>
      <c r="E7269" t="s">
        <v>37</v>
      </c>
      <c r="F7269" t="s">
        <v>34</v>
      </c>
      <c r="G7269" t="s">
        <v>30</v>
      </c>
      <c r="H7269" t="s">
        <v>16</v>
      </c>
      <c r="I7269">
        <v>0</v>
      </c>
      <c r="J7269">
        <v>13.35</v>
      </c>
      <c r="K7269">
        <v>206.96379999999999</v>
      </c>
      <c r="L7269">
        <v>4</v>
      </c>
    </row>
    <row r="7270" spans="1:12" x14ac:dyDescent="0.3">
      <c r="A7270" t="s">
        <v>10</v>
      </c>
      <c r="B7270" t="s">
        <v>1468</v>
      </c>
      <c r="C7270" t="s">
        <v>28</v>
      </c>
      <c r="D7270">
        <v>2020</v>
      </c>
      <c r="E7270" t="s">
        <v>37</v>
      </c>
      <c r="F7270" t="s">
        <v>34</v>
      </c>
      <c r="G7270" t="s">
        <v>30</v>
      </c>
      <c r="H7270" t="s">
        <v>16</v>
      </c>
      <c r="I7270">
        <v>0.14031112300000001</v>
      </c>
      <c r="J7270">
        <v>17</v>
      </c>
      <c r="K7270">
        <v>265.6884</v>
      </c>
      <c r="L7270">
        <v>4</v>
      </c>
    </row>
    <row r="7271" spans="1:12"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x14ac:dyDescent="0.3">
      <c r="A7272" t="s">
        <v>10</v>
      </c>
      <c r="B7272" t="s">
        <v>775</v>
      </c>
      <c r="C7272" t="s">
        <v>28</v>
      </c>
      <c r="D7272">
        <v>2020</v>
      </c>
      <c r="E7272" t="s">
        <v>37</v>
      </c>
      <c r="F7272" t="s">
        <v>34</v>
      </c>
      <c r="G7272" t="s">
        <v>30</v>
      </c>
      <c r="H7272" t="s">
        <v>16</v>
      </c>
      <c r="I7272">
        <v>1.2063121E-2</v>
      </c>
      <c r="J7272">
        <v>20.25</v>
      </c>
      <c r="K7272">
        <v>183.5924</v>
      </c>
      <c r="L7272">
        <v>4</v>
      </c>
    </row>
    <row r="7273" spans="1:12"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
      <c r="A7275" t="s">
        <v>10</v>
      </c>
      <c r="B7275" t="s">
        <v>554</v>
      </c>
      <c r="C7275" t="s">
        <v>67</v>
      </c>
      <c r="D7275">
        <v>2020</v>
      </c>
      <c r="E7275" t="s">
        <v>37</v>
      </c>
      <c r="F7275" t="s">
        <v>34</v>
      </c>
      <c r="G7275" t="s">
        <v>30</v>
      </c>
      <c r="H7275" t="s">
        <v>16</v>
      </c>
      <c r="I7275">
        <v>0.107662745</v>
      </c>
      <c r="J7275">
        <v>11.8</v>
      </c>
      <c r="K7275">
        <v>224.1772</v>
      </c>
      <c r="L7275">
        <v>4</v>
      </c>
    </row>
    <row r="7276" spans="1:12"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x14ac:dyDescent="0.3">
      <c r="A7279" t="s">
        <v>10</v>
      </c>
      <c r="B7279" t="s">
        <v>513</v>
      </c>
      <c r="C7279" t="s">
        <v>24</v>
      </c>
      <c r="D7279">
        <v>2020</v>
      </c>
      <c r="E7279" t="s">
        <v>37</v>
      </c>
      <c r="F7279" t="s">
        <v>34</v>
      </c>
      <c r="G7279" t="s">
        <v>30</v>
      </c>
      <c r="H7279" t="s">
        <v>16</v>
      </c>
      <c r="I7279">
        <v>3.0418997999999999E-2</v>
      </c>
      <c r="J7279">
        <v>5.88</v>
      </c>
      <c r="K7279">
        <v>103.099</v>
      </c>
      <c r="L7279">
        <v>4</v>
      </c>
    </row>
    <row r="7280" spans="1:12"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1052</v>
      </c>
      <c r="C7285" t="s">
        <v>24</v>
      </c>
      <c r="D7285">
        <v>2020</v>
      </c>
      <c r="E7285" t="s">
        <v>37</v>
      </c>
      <c r="F7285" t="s">
        <v>34</v>
      </c>
      <c r="G7285" t="s">
        <v>30</v>
      </c>
      <c r="H7285" t="s">
        <v>16</v>
      </c>
      <c r="I7285">
        <v>6.0768862E-2</v>
      </c>
      <c r="J7285">
        <v>14</v>
      </c>
      <c r="K7285">
        <v>154.8656</v>
      </c>
      <c r="L7285">
        <v>4</v>
      </c>
    </row>
    <row r="7286" spans="1:12"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1567</v>
      </c>
      <c r="C7289" t="s">
        <v>24</v>
      </c>
      <c r="D7289">
        <v>2020</v>
      </c>
      <c r="E7289" t="s">
        <v>37</v>
      </c>
      <c r="F7289" t="s">
        <v>34</v>
      </c>
      <c r="G7289" t="s">
        <v>30</v>
      </c>
      <c r="H7289" t="s">
        <v>16</v>
      </c>
      <c r="I7289">
        <v>0.122208091</v>
      </c>
      <c r="J7289">
        <v>20.7</v>
      </c>
      <c r="K7289">
        <v>119.7466</v>
      </c>
      <c r="L7289">
        <v>4</v>
      </c>
    </row>
    <row r="7290" spans="1:12"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257</v>
      </c>
      <c r="C7294" t="s">
        <v>12</v>
      </c>
      <c r="D7294">
        <v>2020</v>
      </c>
      <c r="E7294" t="s">
        <v>37</v>
      </c>
      <c r="F7294" t="s">
        <v>34</v>
      </c>
      <c r="G7294" t="s">
        <v>15</v>
      </c>
      <c r="H7294" t="s">
        <v>16</v>
      </c>
      <c r="I7294">
        <v>5.3887300999999999E-2</v>
      </c>
      <c r="J7294">
        <v>10.1</v>
      </c>
      <c r="K7294">
        <v>225.6088</v>
      </c>
      <c r="L7294">
        <v>4</v>
      </c>
    </row>
    <row r="7295" spans="1:12"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734</v>
      </c>
      <c r="C7296" t="s">
        <v>12</v>
      </c>
      <c r="D7296">
        <v>2020</v>
      </c>
      <c r="E7296" t="s">
        <v>37</v>
      </c>
      <c r="F7296" t="s">
        <v>34</v>
      </c>
      <c r="G7296" t="s">
        <v>15</v>
      </c>
      <c r="H7296" t="s">
        <v>16</v>
      </c>
      <c r="I7296">
        <v>0.106928681</v>
      </c>
      <c r="J7296">
        <v>12.3</v>
      </c>
      <c r="K7296">
        <v>173.7396</v>
      </c>
      <c r="L7296">
        <v>4</v>
      </c>
    </row>
    <row r="7297" spans="1:12" x14ac:dyDescent="0.3">
      <c r="A7297" t="s">
        <v>10</v>
      </c>
      <c r="B7297" t="s">
        <v>427</v>
      </c>
      <c r="C7297" t="s">
        <v>12</v>
      </c>
      <c r="D7297">
        <v>2020</v>
      </c>
      <c r="E7297" t="s">
        <v>37</v>
      </c>
      <c r="F7297" t="s">
        <v>34</v>
      </c>
      <c r="G7297" t="s">
        <v>15</v>
      </c>
      <c r="H7297" t="s">
        <v>16</v>
      </c>
      <c r="I7297">
        <v>3.8718194999999997E-2</v>
      </c>
      <c r="J7297">
        <v>12.35</v>
      </c>
      <c r="K7297">
        <v>110.657</v>
      </c>
      <c r="L7297">
        <v>4</v>
      </c>
    </row>
    <row r="7298" spans="1:12"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
      <c r="A7301" t="s">
        <v>10</v>
      </c>
      <c r="B7301" t="s">
        <v>956</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808</v>
      </c>
      <c r="C7309" t="s">
        <v>12</v>
      </c>
      <c r="D7309">
        <v>2020</v>
      </c>
      <c r="E7309" t="s">
        <v>37</v>
      </c>
      <c r="F7309" t="s">
        <v>34</v>
      </c>
      <c r="G7309" t="s">
        <v>15</v>
      </c>
      <c r="H7309" t="s">
        <v>16</v>
      </c>
      <c r="I7309">
        <v>4.8207431000000002E-2</v>
      </c>
      <c r="J7309">
        <v>20.6</v>
      </c>
      <c r="K7309">
        <v>188.0556</v>
      </c>
      <c r="L7309">
        <v>4</v>
      </c>
    </row>
    <row r="7310" spans="1:12"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x14ac:dyDescent="0.3">
      <c r="A7311" t="s">
        <v>10</v>
      </c>
      <c r="B7311" t="s">
        <v>963</v>
      </c>
      <c r="C7311" t="s">
        <v>54</v>
      </c>
      <c r="D7311">
        <v>2020</v>
      </c>
      <c r="E7311" t="s">
        <v>37</v>
      </c>
      <c r="F7311" t="s">
        <v>34</v>
      </c>
      <c r="G7311" t="s">
        <v>15</v>
      </c>
      <c r="H7311" t="s">
        <v>16</v>
      </c>
      <c r="I7311">
        <v>9.9237319999999993E-3</v>
      </c>
      <c r="J7311">
        <v>6.26</v>
      </c>
      <c r="K7311">
        <v>152.8366</v>
      </c>
      <c r="L7311">
        <v>4</v>
      </c>
    </row>
    <row r="7312" spans="1:12" x14ac:dyDescent="0.3">
      <c r="A7312" t="s">
        <v>10</v>
      </c>
      <c r="B7312" t="s">
        <v>607</v>
      </c>
      <c r="C7312" t="s">
        <v>54</v>
      </c>
      <c r="D7312">
        <v>2020</v>
      </c>
      <c r="E7312" t="s">
        <v>37</v>
      </c>
      <c r="F7312" t="s">
        <v>34</v>
      </c>
      <c r="G7312" t="s">
        <v>15</v>
      </c>
      <c r="H7312" t="s">
        <v>16</v>
      </c>
      <c r="I7312">
        <v>0</v>
      </c>
      <c r="J7312">
        <v>6.69</v>
      </c>
      <c r="K7312">
        <v>176.93700000000001</v>
      </c>
      <c r="L7312">
        <v>4</v>
      </c>
    </row>
    <row r="7313" spans="1:12"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
      <c r="A7315" t="s">
        <v>10</v>
      </c>
      <c r="B7315" t="s">
        <v>584</v>
      </c>
      <c r="C7315" t="s">
        <v>54</v>
      </c>
      <c r="D7315">
        <v>2020</v>
      </c>
      <c r="E7315" t="s">
        <v>37</v>
      </c>
      <c r="F7315" t="s">
        <v>34</v>
      </c>
      <c r="G7315" t="s">
        <v>15</v>
      </c>
      <c r="H7315" t="s">
        <v>16</v>
      </c>
      <c r="I7315">
        <v>9.7059595999999998E-2</v>
      </c>
      <c r="J7315">
        <v>20.2</v>
      </c>
      <c r="K7315">
        <v>178.6028</v>
      </c>
      <c r="L7315">
        <v>4</v>
      </c>
    </row>
    <row r="7316" spans="1:12" x14ac:dyDescent="0.3">
      <c r="A7316" t="s">
        <v>10</v>
      </c>
      <c r="B7316" t="s">
        <v>194</v>
      </c>
      <c r="C7316" t="s">
        <v>48</v>
      </c>
      <c r="D7316">
        <v>2020</v>
      </c>
      <c r="E7316" t="s">
        <v>37</v>
      </c>
      <c r="F7316" t="s">
        <v>34</v>
      </c>
      <c r="G7316" t="s">
        <v>15</v>
      </c>
      <c r="H7316" t="s">
        <v>16</v>
      </c>
      <c r="I7316">
        <v>5.9976150000000004E-3</v>
      </c>
      <c r="J7316">
        <v>5.34</v>
      </c>
      <c r="K7316">
        <v>100.4358</v>
      </c>
      <c r="L7316">
        <v>4</v>
      </c>
    </row>
    <row r="7317" spans="1:12"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x14ac:dyDescent="0.3">
      <c r="A7322" t="s">
        <v>10</v>
      </c>
      <c r="B7322" t="s">
        <v>600</v>
      </c>
      <c r="C7322" t="s">
        <v>48</v>
      </c>
      <c r="D7322">
        <v>2020</v>
      </c>
      <c r="E7322" t="s">
        <v>37</v>
      </c>
      <c r="F7322" t="s">
        <v>34</v>
      </c>
      <c r="G7322" t="s">
        <v>15</v>
      </c>
      <c r="H7322" t="s">
        <v>16</v>
      </c>
      <c r="I7322">
        <v>6.6269294000000006E-2</v>
      </c>
      <c r="J7322">
        <v>15.25</v>
      </c>
      <c r="K7322">
        <v>179.666</v>
      </c>
      <c r="L7322">
        <v>4</v>
      </c>
    </row>
    <row r="7323" spans="1:12"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572</v>
      </c>
      <c r="C7328" t="s">
        <v>32</v>
      </c>
      <c r="D7328">
        <v>2020</v>
      </c>
      <c r="E7328" t="s">
        <v>37</v>
      </c>
      <c r="F7328" t="s">
        <v>34</v>
      </c>
      <c r="G7328" t="s">
        <v>15</v>
      </c>
      <c r="H7328" t="s">
        <v>16</v>
      </c>
      <c r="I7328">
        <v>3.2625073999999997E-2</v>
      </c>
      <c r="J7328">
        <v>8.26</v>
      </c>
      <c r="K7328">
        <v>124.673</v>
      </c>
      <c r="L7328">
        <v>4</v>
      </c>
    </row>
    <row r="7329" spans="1:12"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
      <c r="A7503" t="s">
        <v>10</v>
      </c>
      <c r="B7503" t="s">
        <v>336</v>
      </c>
      <c r="C7503" t="s">
        <v>95</v>
      </c>
      <c r="D7503">
        <v>2017</v>
      </c>
      <c r="E7503" t="s">
        <v>50</v>
      </c>
      <c r="F7503" t="s">
        <v>34</v>
      </c>
      <c r="G7503" t="s">
        <v>26</v>
      </c>
      <c r="H7503" t="s">
        <v>16</v>
      </c>
      <c r="I7503">
        <v>0.128235818</v>
      </c>
      <c r="J7503">
        <v>14.5</v>
      </c>
      <c r="K7503">
        <v>104.1332</v>
      </c>
      <c r="L7503">
        <v>4</v>
      </c>
    </row>
    <row r="7504" spans="1:12"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
      <c r="A7505" t="s">
        <v>10</v>
      </c>
      <c r="B7505" t="s">
        <v>802</v>
      </c>
      <c r="C7505" t="s">
        <v>95</v>
      </c>
      <c r="D7505">
        <v>2017</v>
      </c>
      <c r="E7505" t="s">
        <v>50</v>
      </c>
      <c r="F7505" t="s">
        <v>34</v>
      </c>
      <c r="G7505" t="s">
        <v>26</v>
      </c>
      <c r="H7505" t="s">
        <v>16</v>
      </c>
      <c r="I7505">
        <v>0.10673189499999999</v>
      </c>
      <c r="J7505">
        <v>16</v>
      </c>
      <c r="K7505">
        <v>183.6634</v>
      </c>
      <c r="L7505">
        <v>4</v>
      </c>
    </row>
    <row r="7506" spans="1:12"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
      <c r="A7513" t="s">
        <v>10</v>
      </c>
      <c r="B7513" t="s">
        <v>983</v>
      </c>
      <c r="C7513" t="s">
        <v>57</v>
      </c>
      <c r="D7513">
        <v>2017</v>
      </c>
      <c r="E7513" t="s">
        <v>50</v>
      </c>
      <c r="F7513" t="s">
        <v>34</v>
      </c>
      <c r="G7513" t="s">
        <v>26</v>
      </c>
      <c r="H7513" t="s">
        <v>16</v>
      </c>
      <c r="I7513">
        <v>2.2274263999999998E-2</v>
      </c>
      <c r="J7513">
        <v>9.6</v>
      </c>
      <c r="K7513">
        <v>101.699</v>
      </c>
      <c r="L7513">
        <v>4</v>
      </c>
    </row>
    <row r="7514" spans="1:12" x14ac:dyDescent="0.3">
      <c r="A7514" t="s">
        <v>10</v>
      </c>
      <c r="B7514" t="s">
        <v>480</v>
      </c>
      <c r="C7514" t="s">
        <v>57</v>
      </c>
      <c r="D7514">
        <v>2017</v>
      </c>
      <c r="E7514" t="s">
        <v>50</v>
      </c>
      <c r="F7514" t="s">
        <v>34</v>
      </c>
      <c r="G7514" t="s">
        <v>26</v>
      </c>
      <c r="H7514" t="s">
        <v>16</v>
      </c>
      <c r="I7514">
        <v>0.14251127199999999</v>
      </c>
      <c r="J7514">
        <v>10.5</v>
      </c>
      <c r="K7514">
        <v>158.7578</v>
      </c>
      <c r="L7514">
        <v>4</v>
      </c>
    </row>
    <row r="7515" spans="1:12"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
      <c r="A7520" t="s">
        <v>10</v>
      </c>
      <c r="B7520" t="s">
        <v>697</v>
      </c>
      <c r="C7520" t="s">
        <v>28</v>
      </c>
      <c r="D7520">
        <v>2017</v>
      </c>
      <c r="E7520" t="s">
        <v>50</v>
      </c>
      <c r="F7520" t="s">
        <v>34</v>
      </c>
      <c r="G7520" t="s">
        <v>26</v>
      </c>
      <c r="H7520" t="s">
        <v>16</v>
      </c>
      <c r="I7520">
        <v>6.8112874000000004E-2</v>
      </c>
      <c r="J7520">
        <v>16.5</v>
      </c>
      <c r="K7520">
        <v>104.599</v>
      </c>
      <c r="L7520">
        <v>4</v>
      </c>
    </row>
    <row r="7521" spans="1:12"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x14ac:dyDescent="0.3">
      <c r="A7533" t="s">
        <v>10</v>
      </c>
      <c r="B7533" t="s">
        <v>397</v>
      </c>
      <c r="C7533" t="s">
        <v>67</v>
      </c>
      <c r="D7533">
        <v>2017</v>
      </c>
      <c r="E7533" t="s">
        <v>50</v>
      </c>
      <c r="F7533" t="s">
        <v>34</v>
      </c>
      <c r="G7533" t="s">
        <v>26</v>
      </c>
      <c r="H7533" t="s">
        <v>16</v>
      </c>
      <c r="I7533">
        <v>0.183260221</v>
      </c>
      <c r="J7533">
        <v>18.25</v>
      </c>
      <c r="K7533">
        <v>108.557</v>
      </c>
      <c r="L7533">
        <v>4</v>
      </c>
    </row>
    <row r="7534" spans="1:12"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x14ac:dyDescent="0.3">
      <c r="A7547" t="s">
        <v>10</v>
      </c>
      <c r="B7547" t="s">
        <v>835</v>
      </c>
      <c r="C7547" t="s">
        <v>24</v>
      </c>
      <c r="D7547">
        <v>2017</v>
      </c>
      <c r="E7547" t="s">
        <v>50</v>
      </c>
      <c r="F7547" t="s">
        <v>34</v>
      </c>
      <c r="G7547" t="s">
        <v>26</v>
      </c>
      <c r="H7547" t="s">
        <v>16</v>
      </c>
      <c r="I7547">
        <v>0.105125569</v>
      </c>
      <c r="J7547">
        <v>14</v>
      </c>
      <c r="K7547">
        <v>143.28120000000001</v>
      </c>
      <c r="L7547">
        <v>4</v>
      </c>
    </row>
    <row r="7548" spans="1:12" x14ac:dyDescent="0.3">
      <c r="A7548" t="s">
        <v>10</v>
      </c>
      <c r="B7548" t="s">
        <v>1533</v>
      </c>
      <c r="C7548" t="s">
        <v>24</v>
      </c>
      <c r="D7548">
        <v>2017</v>
      </c>
      <c r="E7548" t="s">
        <v>50</v>
      </c>
      <c r="F7548" t="s">
        <v>34</v>
      </c>
      <c r="G7548" t="s">
        <v>26</v>
      </c>
      <c r="H7548" t="s">
        <v>16</v>
      </c>
      <c r="I7548">
        <v>0.11001019099999999</v>
      </c>
      <c r="J7548">
        <v>15.85</v>
      </c>
      <c r="K7548">
        <v>38.8506</v>
      </c>
      <c r="L7548">
        <v>4</v>
      </c>
    </row>
    <row r="7549" spans="1:12"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
      <c r="A7556" t="s">
        <v>10</v>
      </c>
      <c r="B7556" t="s">
        <v>432</v>
      </c>
      <c r="C7556" t="s">
        <v>12</v>
      </c>
      <c r="D7556">
        <v>2017</v>
      </c>
      <c r="E7556" t="s">
        <v>50</v>
      </c>
      <c r="F7556" t="s">
        <v>34</v>
      </c>
      <c r="G7556" t="s">
        <v>26</v>
      </c>
      <c r="H7556" t="s">
        <v>16</v>
      </c>
      <c r="I7556">
        <v>5.5294699999999999E-3</v>
      </c>
      <c r="J7556">
        <v>11.35</v>
      </c>
      <c r="K7556">
        <v>169.279</v>
      </c>
      <c r="L7556">
        <v>4</v>
      </c>
    </row>
    <row r="7557" spans="1:12" x14ac:dyDescent="0.3">
      <c r="A7557" t="s">
        <v>10</v>
      </c>
      <c r="B7557" t="s">
        <v>1010</v>
      </c>
      <c r="C7557" t="s">
        <v>12</v>
      </c>
      <c r="D7557">
        <v>2017</v>
      </c>
      <c r="E7557" t="s">
        <v>50</v>
      </c>
      <c r="F7557" t="s">
        <v>34</v>
      </c>
      <c r="G7557" t="s">
        <v>26</v>
      </c>
      <c r="H7557" t="s">
        <v>16</v>
      </c>
      <c r="I7557">
        <v>0</v>
      </c>
      <c r="J7557">
        <v>14.5</v>
      </c>
      <c r="K7557">
        <v>169.6448</v>
      </c>
      <c r="L7557">
        <v>4</v>
      </c>
    </row>
    <row r="7558" spans="1:12"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
      <c r="A7563" t="s">
        <v>10</v>
      </c>
      <c r="B7563" t="s">
        <v>607</v>
      </c>
      <c r="C7563" t="s">
        <v>54</v>
      </c>
      <c r="D7563">
        <v>2017</v>
      </c>
      <c r="E7563" t="s">
        <v>50</v>
      </c>
      <c r="F7563" t="s">
        <v>34</v>
      </c>
      <c r="G7563" t="s">
        <v>26</v>
      </c>
      <c r="H7563" t="s">
        <v>16</v>
      </c>
      <c r="I7563">
        <v>3.6903419E-2</v>
      </c>
      <c r="J7563">
        <v>6.69</v>
      </c>
      <c r="K7563">
        <v>175.137</v>
      </c>
      <c r="L7563">
        <v>4</v>
      </c>
    </row>
    <row r="7564" spans="1:12"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
      <c r="A7565" t="s">
        <v>10</v>
      </c>
      <c r="B7565" t="s">
        <v>869</v>
      </c>
      <c r="C7565" t="s">
        <v>54</v>
      </c>
      <c r="D7565">
        <v>2017</v>
      </c>
      <c r="E7565" t="s">
        <v>50</v>
      </c>
      <c r="F7565" t="s">
        <v>34</v>
      </c>
      <c r="G7565" t="s">
        <v>26</v>
      </c>
      <c r="H7565" t="s">
        <v>16</v>
      </c>
      <c r="I7565">
        <v>2.5921320000000001E-2</v>
      </c>
      <c r="J7565">
        <v>11.8</v>
      </c>
      <c r="K7565">
        <v>101.9674</v>
      </c>
      <c r="L7565">
        <v>4</v>
      </c>
    </row>
    <row r="7566" spans="1:12"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
      <c r="A7567" t="s">
        <v>10</v>
      </c>
      <c r="B7567" t="s">
        <v>1014</v>
      </c>
      <c r="C7567" t="s">
        <v>54</v>
      </c>
      <c r="D7567">
        <v>2017</v>
      </c>
      <c r="E7567" t="s">
        <v>50</v>
      </c>
      <c r="F7567" t="s">
        <v>34</v>
      </c>
      <c r="G7567" t="s">
        <v>26</v>
      </c>
      <c r="H7567" t="s">
        <v>16</v>
      </c>
      <c r="I7567">
        <v>7.7999503999999997E-2</v>
      </c>
      <c r="J7567">
        <v>15</v>
      </c>
      <c r="K7567">
        <v>238.0248</v>
      </c>
      <c r="L7567">
        <v>4</v>
      </c>
    </row>
    <row r="7568" spans="1:12"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
      <c r="A7572" t="s">
        <v>10</v>
      </c>
      <c r="B7572" t="s">
        <v>462</v>
      </c>
      <c r="C7572" t="s">
        <v>48</v>
      </c>
      <c r="D7572">
        <v>2017</v>
      </c>
      <c r="E7572" t="s">
        <v>50</v>
      </c>
      <c r="F7572" t="s">
        <v>34</v>
      </c>
      <c r="G7572" t="s">
        <v>26</v>
      </c>
      <c r="H7572" t="s">
        <v>16</v>
      </c>
      <c r="I7572">
        <v>1.0914988E-2</v>
      </c>
      <c r="J7572">
        <v>9.5</v>
      </c>
      <c r="K7572">
        <v>183.86080000000001</v>
      </c>
      <c r="L7572">
        <v>4</v>
      </c>
    </row>
    <row r="7573" spans="1:12"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
      <c r="A7576" t="s">
        <v>10</v>
      </c>
      <c r="B7576" t="s">
        <v>727</v>
      </c>
      <c r="C7576" t="s">
        <v>48</v>
      </c>
      <c r="D7576">
        <v>2017</v>
      </c>
      <c r="E7576" t="s">
        <v>50</v>
      </c>
      <c r="F7576" t="s">
        <v>34</v>
      </c>
      <c r="G7576" t="s">
        <v>26</v>
      </c>
      <c r="H7576" t="s">
        <v>16</v>
      </c>
      <c r="I7576">
        <v>0</v>
      </c>
      <c r="J7576">
        <v>13.5</v>
      </c>
      <c r="K7576">
        <v>78.396000000000001</v>
      </c>
      <c r="L7576">
        <v>4</v>
      </c>
    </row>
    <row r="7577" spans="1:12"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
      <c r="A7578" t="s">
        <v>10</v>
      </c>
      <c r="B7578" t="s">
        <v>1031</v>
      </c>
      <c r="C7578" t="s">
        <v>48</v>
      </c>
      <c r="D7578">
        <v>2017</v>
      </c>
      <c r="E7578" t="s">
        <v>50</v>
      </c>
      <c r="F7578" t="s">
        <v>34</v>
      </c>
      <c r="G7578" t="s">
        <v>26</v>
      </c>
      <c r="H7578" t="s">
        <v>16</v>
      </c>
      <c r="I7578">
        <v>4.1949831999999999E-2</v>
      </c>
      <c r="J7578">
        <v>14</v>
      </c>
      <c r="K7578">
        <v>54.064</v>
      </c>
      <c r="L7578">
        <v>4</v>
      </c>
    </row>
    <row r="7579" spans="1:12"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
      <c r="A7581" t="s">
        <v>10</v>
      </c>
      <c r="B7581" t="s">
        <v>444</v>
      </c>
      <c r="C7581" t="s">
        <v>48</v>
      </c>
      <c r="D7581">
        <v>2017</v>
      </c>
      <c r="E7581" t="s">
        <v>50</v>
      </c>
      <c r="F7581" t="s">
        <v>34</v>
      </c>
      <c r="G7581" t="s">
        <v>26</v>
      </c>
      <c r="H7581" t="s">
        <v>16</v>
      </c>
      <c r="I7581">
        <v>0.159690469</v>
      </c>
      <c r="J7581">
        <v>16.5</v>
      </c>
      <c r="K7581">
        <v>142.4128</v>
      </c>
      <c r="L7581">
        <v>4</v>
      </c>
    </row>
    <row r="7582" spans="1:12"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
      <c r="A7675" t="s">
        <v>10</v>
      </c>
      <c r="B7675" t="s">
        <v>122</v>
      </c>
      <c r="C7675" t="s">
        <v>57</v>
      </c>
      <c r="D7675">
        <v>2011</v>
      </c>
      <c r="E7675" t="s">
        <v>39</v>
      </c>
      <c r="F7675" t="s">
        <v>21</v>
      </c>
      <c r="G7675" t="s">
        <v>30</v>
      </c>
      <c r="H7675" t="s">
        <v>40</v>
      </c>
      <c r="I7675">
        <v>5.0657232000000003E-2</v>
      </c>
      <c r="J7675">
        <v>8</v>
      </c>
      <c r="K7675">
        <v>249.9092</v>
      </c>
      <c r="L7675">
        <v>4</v>
      </c>
    </row>
    <row r="7676" spans="1:12"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786</v>
      </c>
      <c r="C7681" t="s">
        <v>28</v>
      </c>
      <c r="D7681">
        <v>2011</v>
      </c>
      <c r="E7681" t="s">
        <v>39</v>
      </c>
      <c r="F7681" t="s">
        <v>21</v>
      </c>
      <c r="G7681" t="s">
        <v>30</v>
      </c>
      <c r="H7681" t="s">
        <v>40</v>
      </c>
      <c r="I7681">
        <v>0.14218984300000001</v>
      </c>
      <c r="J7681">
        <v>19.2</v>
      </c>
      <c r="K7681">
        <v>153.8314</v>
      </c>
      <c r="L7681">
        <v>4</v>
      </c>
    </row>
    <row r="7682" spans="1:12" x14ac:dyDescent="0.3">
      <c r="A7682" t="s">
        <v>10</v>
      </c>
      <c r="B7682" t="s">
        <v>1004</v>
      </c>
      <c r="C7682" t="s">
        <v>67</v>
      </c>
      <c r="D7682">
        <v>2011</v>
      </c>
      <c r="E7682" t="s">
        <v>39</v>
      </c>
      <c r="F7682" t="s">
        <v>21</v>
      </c>
      <c r="G7682" t="s">
        <v>30</v>
      </c>
      <c r="H7682" t="s">
        <v>40</v>
      </c>
      <c r="I7682">
        <v>0.241055611</v>
      </c>
      <c r="J7682">
        <v>11.6</v>
      </c>
      <c r="K7682">
        <v>238.5222</v>
      </c>
      <c r="L7682">
        <v>4</v>
      </c>
    </row>
    <row r="7683" spans="1:12"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1534</v>
      </c>
      <c r="C7687" t="s">
        <v>24</v>
      </c>
      <c r="D7687">
        <v>2011</v>
      </c>
      <c r="E7687" t="s">
        <v>39</v>
      </c>
      <c r="F7687" t="s">
        <v>21</v>
      </c>
      <c r="G7687" t="s">
        <v>30</v>
      </c>
      <c r="H7687" t="s">
        <v>40</v>
      </c>
      <c r="I7687">
        <v>0.16288222699999999</v>
      </c>
      <c r="J7687">
        <v>19</v>
      </c>
      <c r="K7687">
        <v>46.8718</v>
      </c>
      <c r="L7687">
        <v>4</v>
      </c>
    </row>
    <row r="7688" spans="1:12"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
      <c r="A7690" t="s">
        <v>10</v>
      </c>
      <c r="B7690" t="s">
        <v>1219</v>
      </c>
      <c r="C7690" t="s">
        <v>12</v>
      </c>
      <c r="D7690">
        <v>2011</v>
      </c>
      <c r="E7690" t="s">
        <v>39</v>
      </c>
      <c r="F7690" t="s">
        <v>21</v>
      </c>
      <c r="G7690" t="s">
        <v>30</v>
      </c>
      <c r="H7690" t="s">
        <v>40</v>
      </c>
      <c r="I7690">
        <v>5.8835928000000003E-2</v>
      </c>
      <c r="J7690">
        <v>9.5</v>
      </c>
      <c r="K7690">
        <v>170.2448</v>
      </c>
      <c r="L7690">
        <v>4</v>
      </c>
    </row>
    <row r="7691" spans="1:12"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1225</v>
      </c>
      <c r="C7692" t="s">
        <v>12</v>
      </c>
      <c r="D7692">
        <v>2011</v>
      </c>
      <c r="E7692" t="s">
        <v>39</v>
      </c>
      <c r="F7692" t="s">
        <v>21</v>
      </c>
      <c r="G7692" t="s">
        <v>30</v>
      </c>
      <c r="H7692" t="s">
        <v>40</v>
      </c>
      <c r="I7692">
        <v>0</v>
      </c>
      <c r="J7692">
        <v>12.5</v>
      </c>
      <c r="K7692">
        <v>80.859200000000001</v>
      </c>
      <c r="L7692">
        <v>4</v>
      </c>
    </row>
    <row r="7693" spans="1:12"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362</v>
      </c>
      <c r="C7694" t="s">
        <v>12</v>
      </c>
      <c r="D7694">
        <v>2011</v>
      </c>
      <c r="E7694" t="s">
        <v>39</v>
      </c>
      <c r="F7694" t="s">
        <v>21</v>
      </c>
      <c r="G7694" t="s">
        <v>30</v>
      </c>
      <c r="H7694" t="s">
        <v>40</v>
      </c>
      <c r="I7694">
        <v>7.1904257999999999E-2</v>
      </c>
      <c r="J7694">
        <v>14.6</v>
      </c>
      <c r="K7694">
        <v>106.8254</v>
      </c>
      <c r="L7694">
        <v>4</v>
      </c>
    </row>
    <row r="7695" spans="1:12" x14ac:dyDescent="0.3">
      <c r="A7695" t="s">
        <v>10</v>
      </c>
      <c r="B7695" t="s">
        <v>62</v>
      </c>
      <c r="C7695" t="s">
        <v>12</v>
      </c>
      <c r="D7695">
        <v>2011</v>
      </c>
      <c r="E7695" t="s">
        <v>39</v>
      </c>
      <c r="F7695" t="s">
        <v>21</v>
      </c>
      <c r="G7695" t="s">
        <v>30</v>
      </c>
      <c r="H7695" t="s">
        <v>40</v>
      </c>
      <c r="I7695">
        <v>0.157154813</v>
      </c>
      <c r="J7695">
        <v>15.1</v>
      </c>
      <c r="K7695">
        <v>62.2194</v>
      </c>
      <c r="L7695">
        <v>4</v>
      </c>
    </row>
    <row r="7696" spans="1:12"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1520</v>
      </c>
      <c r="C7697" t="s">
        <v>12</v>
      </c>
      <c r="D7697">
        <v>2011</v>
      </c>
      <c r="E7697" t="s">
        <v>39</v>
      </c>
      <c r="F7697" t="s">
        <v>21</v>
      </c>
      <c r="G7697" t="s">
        <v>30</v>
      </c>
      <c r="H7697" t="s">
        <v>40</v>
      </c>
      <c r="I7697">
        <v>0.20498453799999999</v>
      </c>
      <c r="J7697">
        <v>15.7</v>
      </c>
      <c r="K7697">
        <v>111.0544</v>
      </c>
      <c r="L7697">
        <v>4</v>
      </c>
    </row>
    <row r="7698" spans="1:12"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806</v>
      </c>
      <c r="C7700" t="s">
        <v>12</v>
      </c>
      <c r="D7700">
        <v>2011</v>
      </c>
      <c r="E7700" t="s">
        <v>39</v>
      </c>
      <c r="F7700" t="s">
        <v>21</v>
      </c>
      <c r="G7700" t="s">
        <v>30</v>
      </c>
      <c r="H7700" t="s">
        <v>40</v>
      </c>
      <c r="I7700">
        <v>0.133424184</v>
      </c>
      <c r="J7700">
        <v>16.5</v>
      </c>
      <c r="K7700">
        <v>102.2332</v>
      </c>
      <c r="L7700">
        <v>4</v>
      </c>
    </row>
    <row r="7701" spans="1:12"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486</v>
      </c>
      <c r="C7702" t="s">
        <v>12</v>
      </c>
      <c r="D7702">
        <v>2011</v>
      </c>
      <c r="E7702" t="s">
        <v>39</v>
      </c>
      <c r="F7702" t="s">
        <v>21</v>
      </c>
      <c r="G7702" t="s">
        <v>30</v>
      </c>
      <c r="H7702" t="s">
        <v>40</v>
      </c>
      <c r="I7702">
        <v>0</v>
      </c>
      <c r="J7702">
        <v>20</v>
      </c>
      <c r="K7702">
        <v>46.474400000000003</v>
      </c>
      <c r="L7702">
        <v>4</v>
      </c>
    </row>
    <row r="7703" spans="1:12"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620</v>
      </c>
      <c r="C7704" t="s">
        <v>12</v>
      </c>
      <c r="D7704">
        <v>2011</v>
      </c>
      <c r="E7704" t="s">
        <v>39</v>
      </c>
      <c r="F7704" t="s">
        <v>21</v>
      </c>
      <c r="G7704" t="s">
        <v>30</v>
      </c>
      <c r="H7704" t="s">
        <v>40</v>
      </c>
      <c r="I7704">
        <v>0.16767230999999999</v>
      </c>
      <c r="J7704">
        <v>20.7</v>
      </c>
      <c r="K7704">
        <v>124.2388</v>
      </c>
      <c r="L7704">
        <v>4</v>
      </c>
    </row>
    <row r="7705" spans="1:12" x14ac:dyDescent="0.3">
      <c r="A7705" t="s">
        <v>10</v>
      </c>
      <c r="B7705" t="s">
        <v>258</v>
      </c>
      <c r="C7705" t="s">
        <v>54</v>
      </c>
      <c r="D7705">
        <v>2011</v>
      </c>
      <c r="E7705" t="s">
        <v>39</v>
      </c>
      <c r="F7705" t="s">
        <v>21</v>
      </c>
      <c r="G7705" t="s">
        <v>30</v>
      </c>
      <c r="H7705" t="s">
        <v>40</v>
      </c>
      <c r="I7705">
        <v>0.10239789000000001</v>
      </c>
      <c r="J7705">
        <v>5.15</v>
      </c>
      <c r="K7705">
        <v>122.1388</v>
      </c>
      <c r="L7705">
        <v>4</v>
      </c>
    </row>
    <row r="7706" spans="1:12"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
      <c r="A7707" t="s">
        <v>10</v>
      </c>
      <c r="B7707" t="s">
        <v>1335</v>
      </c>
      <c r="C7707" t="s">
        <v>54</v>
      </c>
      <c r="D7707">
        <v>2011</v>
      </c>
      <c r="E7707" t="s">
        <v>39</v>
      </c>
      <c r="F7707" t="s">
        <v>21</v>
      </c>
      <c r="G7707" t="s">
        <v>30</v>
      </c>
      <c r="H7707" t="s">
        <v>40</v>
      </c>
      <c r="I7707">
        <v>1.8275816E-2</v>
      </c>
      <c r="J7707">
        <v>11.65</v>
      </c>
      <c r="K7707">
        <v>110.8544</v>
      </c>
      <c r="L7707">
        <v>4</v>
      </c>
    </row>
    <row r="7708" spans="1:12"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1573</v>
      </c>
      <c r="C7714" t="s">
        <v>48</v>
      </c>
      <c r="D7714">
        <v>2011</v>
      </c>
      <c r="E7714" t="s">
        <v>39</v>
      </c>
      <c r="F7714" t="s">
        <v>21</v>
      </c>
      <c r="G7714" t="s">
        <v>30</v>
      </c>
      <c r="H7714" t="s">
        <v>40</v>
      </c>
      <c r="I7714">
        <v>0.145253944</v>
      </c>
      <c r="J7714">
        <v>10.695</v>
      </c>
      <c r="K7714">
        <v>156.8972</v>
      </c>
      <c r="L7714">
        <v>4</v>
      </c>
    </row>
    <row r="7715" spans="1:12"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x14ac:dyDescent="0.3">
      <c r="A7718" t="s">
        <v>10</v>
      </c>
      <c r="B7718" t="s">
        <v>520</v>
      </c>
      <c r="C7718" t="s">
        <v>32</v>
      </c>
      <c r="D7718">
        <v>2011</v>
      </c>
      <c r="E7718" t="s">
        <v>39</v>
      </c>
      <c r="F7718" t="s">
        <v>21</v>
      </c>
      <c r="G7718" t="s">
        <v>26</v>
      </c>
      <c r="H7718" t="s">
        <v>40</v>
      </c>
      <c r="I7718">
        <v>0.214125129</v>
      </c>
      <c r="J7718">
        <v>8.27</v>
      </c>
      <c r="K7718">
        <v>183.9924</v>
      </c>
      <c r="L7718">
        <v>4</v>
      </c>
    </row>
    <row r="7719" spans="1:12"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960</v>
      </c>
      <c r="C7720" t="s">
        <v>32</v>
      </c>
      <c r="D7720">
        <v>2011</v>
      </c>
      <c r="E7720" t="s">
        <v>39</v>
      </c>
      <c r="F7720" t="s">
        <v>21</v>
      </c>
      <c r="G7720" t="s">
        <v>26</v>
      </c>
      <c r="H7720" t="s">
        <v>40</v>
      </c>
      <c r="I7720">
        <v>0.129170642</v>
      </c>
      <c r="J7720">
        <v>19.5</v>
      </c>
      <c r="K7720">
        <v>233.9958</v>
      </c>
      <c r="L7720">
        <v>4</v>
      </c>
    </row>
    <row r="7721" spans="1:12"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
      <c r="A7899" t="s">
        <v>10</v>
      </c>
      <c r="B7899" t="s">
        <v>1368</v>
      </c>
      <c r="C7899" t="s">
        <v>95</v>
      </c>
      <c r="D7899">
        <v>2014</v>
      </c>
      <c r="E7899" t="s">
        <v>29</v>
      </c>
      <c r="F7899" t="s">
        <v>21</v>
      </c>
      <c r="G7899" t="s">
        <v>30</v>
      </c>
      <c r="H7899" t="s">
        <v>16</v>
      </c>
      <c r="I7899">
        <v>0</v>
      </c>
      <c r="J7899">
        <v>10.8</v>
      </c>
      <c r="K7899">
        <v>39.313800000000001</v>
      </c>
      <c r="L7899">
        <v>4</v>
      </c>
    </row>
    <row r="7900" spans="1:12" x14ac:dyDescent="0.3">
      <c r="A7900" t="s">
        <v>10</v>
      </c>
      <c r="B7900" t="s">
        <v>1343</v>
      </c>
      <c r="C7900" t="s">
        <v>95</v>
      </c>
      <c r="D7900">
        <v>2014</v>
      </c>
      <c r="E7900" t="s">
        <v>29</v>
      </c>
      <c r="F7900" t="s">
        <v>21</v>
      </c>
      <c r="G7900" t="s">
        <v>30</v>
      </c>
      <c r="H7900" t="s">
        <v>16</v>
      </c>
      <c r="I7900">
        <v>2.6818430000000001E-2</v>
      </c>
      <c r="J7900">
        <v>15</v>
      </c>
      <c r="K7900">
        <v>219.7456</v>
      </c>
      <c r="L7900">
        <v>4</v>
      </c>
    </row>
    <row r="7901" spans="1:12"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883</v>
      </c>
      <c r="C7911" t="s">
        <v>28</v>
      </c>
      <c r="D7911">
        <v>2014</v>
      </c>
      <c r="E7911" t="s">
        <v>29</v>
      </c>
      <c r="F7911" t="s">
        <v>21</v>
      </c>
      <c r="G7911" t="s">
        <v>30</v>
      </c>
      <c r="H7911" t="s">
        <v>16</v>
      </c>
      <c r="I7911">
        <v>0.104421237</v>
      </c>
      <c r="J7911">
        <v>9.5</v>
      </c>
      <c r="K7911">
        <v>80.195999999999998</v>
      </c>
      <c r="L7911">
        <v>4</v>
      </c>
    </row>
    <row r="7912" spans="1:12"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x14ac:dyDescent="0.3">
      <c r="A7914" t="s">
        <v>10</v>
      </c>
      <c r="B7914" t="s">
        <v>394</v>
      </c>
      <c r="C7914" t="s">
        <v>28</v>
      </c>
      <c r="D7914">
        <v>2014</v>
      </c>
      <c r="E7914" t="s">
        <v>29</v>
      </c>
      <c r="F7914" t="s">
        <v>21</v>
      </c>
      <c r="G7914" t="s">
        <v>30</v>
      </c>
      <c r="H7914" t="s">
        <v>16</v>
      </c>
      <c r="I7914">
        <v>3.0064132E-2</v>
      </c>
      <c r="J7914">
        <v>13</v>
      </c>
      <c r="K7914">
        <v>58.021999999999998</v>
      </c>
      <c r="L7914">
        <v>4</v>
      </c>
    </row>
    <row r="7915" spans="1:12" x14ac:dyDescent="0.3">
      <c r="A7915" t="s">
        <v>10</v>
      </c>
      <c r="B7915" t="s">
        <v>884</v>
      </c>
      <c r="C7915" t="s">
        <v>28</v>
      </c>
      <c r="D7915">
        <v>2014</v>
      </c>
      <c r="E7915" t="s">
        <v>29</v>
      </c>
      <c r="F7915" t="s">
        <v>21</v>
      </c>
      <c r="G7915" t="s">
        <v>30</v>
      </c>
      <c r="H7915" t="s">
        <v>16</v>
      </c>
      <c r="I7915">
        <v>3.1418983999999997E-2</v>
      </c>
      <c r="J7915">
        <v>13.65</v>
      </c>
      <c r="K7915">
        <v>99.27</v>
      </c>
      <c r="L7915">
        <v>4</v>
      </c>
    </row>
    <row r="7916" spans="1:12"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
      <c r="A7922" t="s">
        <v>10</v>
      </c>
      <c r="B7922" t="s">
        <v>1308</v>
      </c>
      <c r="C7922" t="s">
        <v>67</v>
      </c>
      <c r="D7922">
        <v>2014</v>
      </c>
      <c r="E7922" t="s">
        <v>29</v>
      </c>
      <c r="F7922" t="s">
        <v>21</v>
      </c>
      <c r="G7922" t="s">
        <v>30</v>
      </c>
      <c r="H7922" t="s">
        <v>16</v>
      </c>
      <c r="I7922">
        <v>0.127620811</v>
      </c>
      <c r="J7922">
        <v>10.695</v>
      </c>
      <c r="K7922">
        <v>119.244</v>
      </c>
      <c r="L7922">
        <v>4</v>
      </c>
    </row>
    <row r="7923" spans="1:12"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
      <c r="A7924" t="s">
        <v>10</v>
      </c>
      <c r="B7924" t="s">
        <v>554</v>
      </c>
      <c r="C7924" t="s">
        <v>67</v>
      </c>
      <c r="D7924">
        <v>2014</v>
      </c>
      <c r="E7924" t="s">
        <v>29</v>
      </c>
      <c r="F7924" t="s">
        <v>21</v>
      </c>
      <c r="G7924" t="s">
        <v>30</v>
      </c>
      <c r="H7924" t="s">
        <v>16</v>
      </c>
      <c r="I7924">
        <v>0.106968096</v>
      </c>
      <c r="J7924">
        <v>11.8</v>
      </c>
      <c r="K7924">
        <v>221.6772</v>
      </c>
      <c r="L7924">
        <v>4</v>
      </c>
    </row>
    <row r="7925" spans="1:12" x14ac:dyDescent="0.3">
      <c r="A7925" t="s">
        <v>10</v>
      </c>
      <c r="B7925" t="s">
        <v>397</v>
      </c>
      <c r="C7925" t="s">
        <v>67</v>
      </c>
      <c r="D7925">
        <v>2014</v>
      </c>
      <c r="E7925" t="s">
        <v>29</v>
      </c>
      <c r="F7925" t="s">
        <v>21</v>
      </c>
      <c r="G7925" t="s">
        <v>30</v>
      </c>
      <c r="H7925" t="s">
        <v>16</v>
      </c>
      <c r="I7925">
        <v>0.18314234600000001</v>
      </c>
      <c r="J7925">
        <v>18.25</v>
      </c>
      <c r="K7925">
        <v>110.357</v>
      </c>
      <c r="L7925">
        <v>4</v>
      </c>
    </row>
    <row r="7926" spans="1:12"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939</v>
      </c>
      <c r="C7928" t="s">
        <v>24</v>
      </c>
      <c r="D7928">
        <v>2014</v>
      </c>
      <c r="E7928" t="s">
        <v>29</v>
      </c>
      <c r="F7928" t="s">
        <v>21</v>
      </c>
      <c r="G7928" t="s">
        <v>30</v>
      </c>
      <c r="H7928" t="s">
        <v>16</v>
      </c>
      <c r="I7928">
        <v>0.152024355</v>
      </c>
      <c r="J7928">
        <v>7.47</v>
      </c>
      <c r="K7928">
        <v>211.8218</v>
      </c>
      <c r="L7928">
        <v>4</v>
      </c>
    </row>
    <row r="7929" spans="1:12"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901</v>
      </c>
      <c r="C7933" t="s">
        <v>24</v>
      </c>
      <c r="D7933">
        <v>2014</v>
      </c>
      <c r="E7933" t="s">
        <v>29</v>
      </c>
      <c r="F7933" t="s">
        <v>21</v>
      </c>
      <c r="G7933" t="s">
        <v>30</v>
      </c>
      <c r="H7933" t="s">
        <v>16</v>
      </c>
      <c r="I7933">
        <v>0.13566271199999999</v>
      </c>
      <c r="J7933">
        <v>14</v>
      </c>
      <c r="K7933">
        <v>52.064</v>
      </c>
      <c r="L7933">
        <v>4</v>
      </c>
    </row>
    <row r="7934" spans="1:12"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x14ac:dyDescent="0.3">
      <c r="A7940" t="s">
        <v>10</v>
      </c>
      <c r="B7940" t="s">
        <v>426</v>
      </c>
      <c r="C7940" t="s">
        <v>12</v>
      </c>
      <c r="D7940">
        <v>2014</v>
      </c>
      <c r="E7940" t="s">
        <v>29</v>
      </c>
      <c r="F7940" t="s">
        <v>21</v>
      </c>
      <c r="G7940" t="s">
        <v>30</v>
      </c>
      <c r="H7940" t="s">
        <v>16</v>
      </c>
      <c r="I7940">
        <v>0.14492015999999999</v>
      </c>
      <c r="J7940">
        <v>7.59</v>
      </c>
      <c r="K7940">
        <v>174.708</v>
      </c>
      <c r="L7940">
        <v>4</v>
      </c>
    </row>
    <row r="7941" spans="1:12"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1219</v>
      </c>
      <c r="C7942" t="s">
        <v>12</v>
      </c>
      <c r="D7942">
        <v>2014</v>
      </c>
      <c r="E7942" t="s">
        <v>29</v>
      </c>
      <c r="F7942" t="s">
        <v>21</v>
      </c>
      <c r="G7942" t="s">
        <v>30</v>
      </c>
      <c r="H7942" t="s">
        <v>16</v>
      </c>
      <c r="I7942">
        <v>3.5121962999999999E-2</v>
      </c>
      <c r="J7942">
        <v>9.5</v>
      </c>
      <c r="K7942">
        <v>168.6448</v>
      </c>
      <c r="L7942">
        <v>4</v>
      </c>
    </row>
    <row r="7943" spans="1:12"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257</v>
      </c>
      <c r="C7944" t="s">
        <v>12</v>
      </c>
      <c r="D7944">
        <v>2014</v>
      </c>
      <c r="E7944" t="s">
        <v>29</v>
      </c>
      <c r="F7944" t="s">
        <v>21</v>
      </c>
      <c r="G7944" t="s">
        <v>30</v>
      </c>
      <c r="H7944" t="s">
        <v>16</v>
      </c>
      <c r="I7944">
        <v>0</v>
      </c>
      <c r="J7944">
        <v>10.1</v>
      </c>
      <c r="K7944">
        <v>225.1088</v>
      </c>
      <c r="L7944">
        <v>4</v>
      </c>
    </row>
    <row r="7945" spans="1:12" x14ac:dyDescent="0.3">
      <c r="A7945" t="s">
        <v>10</v>
      </c>
      <c r="B7945" t="s">
        <v>280</v>
      </c>
      <c r="C7945" t="s">
        <v>12</v>
      </c>
      <c r="D7945">
        <v>2014</v>
      </c>
      <c r="E7945" t="s">
        <v>29</v>
      </c>
      <c r="F7945" t="s">
        <v>21</v>
      </c>
      <c r="G7945" t="s">
        <v>30</v>
      </c>
      <c r="H7945" t="s">
        <v>16</v>
      </c>
      <c r="I7945">
        <v>0.13197362500000001</v>
      </c>
      <c r="J7945">
        <v>12.15</v>
      </c>
      <c r="K7945">
        <v>187.9872</v>
      </c>
      <c r="L7945">
        <v>4</v>
      </c>
    </row>
    <row r="7946" spans="1:12" x14ac:dyDescent="0.3">
      <c r="A7946" t="s">
        <v>10</v>
      </c>
      <c r="B7946" t="s">
        <v>864</v>
      </c>
      <c r="C7946" t="s">
        <v>12</v>
      </c>
      <c r="D7946">
        <v>2014</v>
      </c>
      <c r="E7946" t="s">
        <v>29</v>
      </c>
      <c r="F7946" t="s">
        <v>21</v>
      </c>
      <c r="G7946" t="s">
        <v>30</v>
      </c>
      <c r="H7946" t="s">
        <v>16</v>
      </c>
      <c r="I7946">
        <v>4.3618826999999999E-2</v>
      </c>
      <c r="J7946">
        <v>13.6</v>
      </c>
      <c r="K7946">
        <v>156.7946</v>
      </c>
      <c r="L7946">
        <v>4</v>
      </c>
    </row>
    <row r="7947" spans="1:12"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1469</v>
      </c>
      <c r="C7951" t="s">
        <v>12</v>
      </c>
      <c r="D7951">
        <v>2014</v>
      </c>
      <c r="E7951" t="s">
        <v>29</v>
      </c>
      <c r="F7951" t="s">
        <v>21</v>
      </c>
      <c r="G7951" t="s">
        <v>30</v>
      </c>
      <c r="H7951" t="s">
        <v>16</v>
      </c>
      <c r="I7951">
        <v>0.112316501</v>
      </c>
      <c r="J7951">
        <v>20.5</v>
      </c>
      <c r="K7951">
        <v>193.9478</v>
      </c>
      <c r="L7951">
        <v>4</v>
      </c>
    </row>
    <row r="7952" spans="1:12" x14ac:dyDescent="0.3">
      <c r="A7952" t="s">
        <v>10</v>
      </c>
      <c r="B7952" t="s">
        <v>316</v>
      </c>
      <c r="C7952" t="s">
        <v>54</v>
      </c>
      <c r="D7952">
        <v>2014</v>
      </c>
      <c r="E7952" t="s">
        <v>29</v>
      </c>
      <c r="F7952" t="s">
        <v>21</v>
      </c>
      <c r="G7952" t="s">
        <v>30</v>
      </c>
      <c r="H7952" t="s">
        <v>16</v>
      </c>
      <c r="I7952">
        <v>2.4520854000000002E-2</v>
      </c>
      <c r="J7952">
        <v>5.63</v>
      </c>
      <c r="K7952">
        <v>102.8306</v>
      </c>
      <c r="L7952">
        <v>4</v>
      </c>
    </row>
    <row r="7953" spans="1:12"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
      <c r="A7964" t="s">
        <v>10</v>
      </c>
      <c r="B7964" t="s">
        <v>840</v>
      </c>
      <c r="C7964" t="s">
        <v>48</v>
      </c>
      <c r="D7964">
        <v>2014</v>
      </c>
      <c r="E7964" t="s">
        <v>29</v>
      </c>
      <c r="F7964" t="s">
        <v>21</v>
      </c>
      <c r="G7964" t="s">
        <v>30</v>
      </c>
      <c r="H7964" t="s">
        <v>16</v>
      </c>
      <c r="I7964">
        <v>5.6825065000000001E-2</v>
      </c>
      <c r="J7964">
        <v>13.8</v>
      </c>
      <c r="K7964">
        <v>230.9984</v>
      </c>
      <c r="L7964">
        <v>4</v>
      </c>
    </row>
    <row r="7965" spans="1:12"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
      <c r="A8147" t="s">
        <v>10</v>
      </c>
      <c r="B8147" t="s">
        <v>263</v>
      </c>
      <c r="C8147" t="s">
        <v>95</v>
      </c>
      <c r="D8147">
        <v>2022</v>
      </c>
      <c r="E8147" t="s">
        <v>20</v>
      </c>
      <c r="F8147" t="s">
        <v>21</v>
      </c>
      <c r="G8147" t="s">
        <v>15</v>
      </c>
      <c r="H8147" t="s">
        <v>22</v>
      </c>
      <c r="I8147">
        <v>4.4202545000000003E-2</v>
      </c>
      <c r="J8147">
        <v>7.52</v>
      </c>
      <c r="K8147">
        <v>182.995</v>
      </c>
      <c r="L8147">
        <v>4</v>
      </c>
    </row>
    <row r="8148" spans="1:12"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
      <c r="A8156" t="s">
        <v>10</v>
      </c>
      <c r="B8156" t="s">
        <v>429</v>
      </c>
      <c r="C8156" t="s">
        <v>74</v>
      </c>
      <c r="D8156">
        <v>2022</v>
      </c>
      <c r="E8156" t="s">
        <v>20</v>
      </c>
      <c r="F8156" t="s">
        <v>21</v>
      </c>
      <c r="G8156" t="s">
        <v>15</v>
      </c>
      <c r="H8156" t="s">
        <v>22</v>
      </c>
      <c r="I8156">
        <v>0</v>
      </c>
      <c r="J8156">
        <v>9</v>
      </c>
      <c r="K8156">
        <v>55.261400000000002</v>
      </c>
      <c r="L8156">
        <v>4</v>
      </c>
    </row>
    <row r="8157" spans="1:12"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x14ac:dyDescent="0.3">
      <c r="A8165" t="s">
        <v>10</v>
      </c>
      <c r="B8165" t="s">
        <v>697</v>
      </c>
      <c r="C8165" t="s">
        <v>28</v>
      </c>
      <c r="D8165">
        <v>2022</v>
      </c>
      <c r="E8165" t="s">
        <v>20</v>
      </c>
      <c r="F8165" t="s">
        <v>21</v>
      </c>
      <c r="G8165" t="s">
        <v>15</v>
      </c>
      <c r="H8165" t="s">
        <v>22</v>
      </c>
      <c r="I8165">
        <v>6.8403271000000002E-2</v>
      </c>
      <c r="J8165">
        <v>16.5</v>
      </c>
      <c r="K8165">
        <v>101.999</v>
      </c>
      <c r="L8165">
        <v>4</v>
      </c>
    </row>
    <row r="8166" spans="1:12" x14ac:dyDescent="0.3">
      <c r="A8166" t="s">
        <v>10</v>
      </c>
      <c r="B8166" t="s">
        <v>1468</v>
      </c>
      <c r="C8166" t="s">
        <v>28</v>
      </c>
      <c r="D8166">
        <v>2022</v>
      </c>
      <c r="E8166" t="s">
        <v>20</v>
      </c>
      <c r="F8166" t="s">
        <v>21</v>
      </c>
      <c r="G8166" t="s">
        <v>15</v>
      </c>
      <c r="H8166" t="s">
        <v>22</v>
      </c>
      <c r="I8166">
        <v>0.14009028400000001</v>
      </c>
      <c r="J8166">
        <v>17</v>
      </c>
      <c r="K8166">
        <v>265.1884</v>
      </c>
      <c r="L8166">
        <v>4</v>
      </c>
    </row>
    <row r="8167" spans="1:12"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
      <c r="A8172" t="s">
        <v>10</v>
      </c>
      <c r="B8172" t="s">
        <v>1051</v>
      </c>
      <c r="C8172" t="s">
        <v>67</v>
      </c>
      <c r="D8172">
        <v>2022</v>
      </c>
      <c r="E8172" t="s">
        <v>20</v>
      </c>
      <c r="F8172" t="s">
        <v>21</v>
      </c>
      <c r="G8172" t="s">
        <v>15</v>
      </c>
      <c r="H8172" t="s">
        <v>22</v>
      </c>
      <c r="I8172">
        <v>0</v>
      </c>
      <c r="J8172">
        <v>13.65</v>
      </c>
      <c r="K8172">
        <v>186.024</v>
      </c>
      <c r="L8172">
        <v>4</v>
      </c>
    </row>
    <row r="8173" spans="1:12" x14ac:dyDescent="0.3">
      <c r="A8173" t="s">
        <v>10</v>
      </c>
      <c r="B8173" t="s">
        <v>124</v>
      </c>
      <c r="C8173" t="s">
        <v>67</v>
      </c>
      <c r="D8173">
        <v>2022</v>
      </c>
      <c r="E8173" t="s">
        <v>20</v>
      </c>
      <c r="F8173" t="s">
        <v>21</v>
      </c>
      <c r="G8173" t="s">
        <v>15</v>
      </c>
      <c r="H8173" t="s">
        <v>22</v>
      </c>
      <c r="I8173">
        <v>2.9843735999999999E-2</v>
      </c>
      <c r="J8173">
        <v>14</v>
      </c>
      <c r="K8173">
        <v>143.9786</v>
      </c>
      <c r="L8173">
        <v>4</v>
      </c>
    </row>
    <row r="8174" spans="1:12"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x14ac:dyDescent="0.3">
      <c r="A8176" t="s">
        <v>10</v>
      </c>
      <c r="B8176" t="s">
        <v>804</v>
      </c>
      <c r="C8176" t="s">
        <v>67</v>
      </c>
      <c r="D8176">
        <v>2022</v>
      </c>
      <c r="E8176" t="s">
        <v>20</v>
      </c>
      <c r="F8176" t="s">
        <v>21</v>
      </c>
      <c r="G8176" t="s">
        <v>15</v>
      </c>
      <c r="H8176" t="s">
        <v>22</v>
      </c>
      <c r="I8176">
        <v>0.17152392799999999</v>
      </c>
      <c r="J8176">
        <v>18.25</v>
      </c>
      <c r="K8176">
        <v>155.863</v>
      </c>
      <c r="L8176">
        <v>4</v>
      </c>
    </row>
    <row r="8177" spans="1:12"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269</v>
      </c>
      <c r="C8180" t="s">
        <v>24</v>
      </c>
      <c r="D8180">
        <v>2022</v>
      </c>
      <c r="E8180" t="s">
        <v>20</v>
      </c>
      <c r="F8180" t="s">
        <v>21</v>
      </c>
      <c r="G8180" t="s">
        <v>15</v>
      </c>
      <c r="H8180" t="s">
        <v>22</v>
      </c>
      <c r="I8180">
        <v>0</v>
      </c>
      <c r="J8180">
        <v>10.195</v>
      </c>
      <c r="K8180">
        <v>139.5838</v>
      </c>
      <c r="L8180">
        <v>4</v>
      </c>
    </row>
    <row r="8181" spans="1:12"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
      <c r="A8188" t="s">
        <v>10</v>
      </c>
      <c r="B8188" t="s">
        <v>835</v>
      </c>
      <c r="C8188" t="s">
        <v>24</v>
      </c>
      <c r="D8188">
        <v>2022</v>
      </c>
      <c r="E8188" t="s">
        <v>20</v>
      </c>
      <c r="F8188" t="s">
        <v>21</v>
      </c>
      <c r="G8188" t="s">
        <v>15</v>
      </c>
      <c r="H8188" t="s">
        <v>22</v>
      </c>
      <c r="I8188">
        <v>0.105573769</v>
      </c>
      <c r="J8188">
        <v>14</v>
      </c>
      <c r="K8188">
        <v>143.9812</v>
      </c>
      <c r="L8188">
        <v>4</v>
      </c>
    </row>
    <row r="8189" spans="1:12"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758</v>
      </c>
      <c r="C8194" t="s">
        <v>24</v>
      </c>
      <c r="D8194">
        <v>2022</v>
      </c>
      <c r="E8194" t="s">
        <v>20</v>
      </c>
      <c r="F8194" t="s">
        <v>21</v>
      </c>
      <c r="G8194" t="s">
        <v>15</v>
      </c>
      <c r="H8194" t="s">
        <v>22</v>
      </c>
      <c r="I8194">
        <v>4.2649475999999999E-2</v>
      </c>
      <c r="J8194">
        <v>17.7</v>
      </c>
      <c r="K8194">
        <v>162.721</v>
      </c>
      <c r="L8194">
        <v>4</v>
      </c>
    </row>
    <row r="8195" spans="1:12"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314</v>
      </c>
      <c r="C8197" t="s">
        <v>24</v>
      </c>
      <c r="D8197">
        <v>2022</v>
      </c>
      <c r="E8197" t="s">
        <v>20</v>
      </c>
      <c r="F8197" t="s">
        <v>21</v>
      </c>
      <c r="G8197" t="s">
        <v>15</v>
      </c>
      <c r="H8197" t="s">
        <v>22</v>
      </c>
      <c r="I8197">
        <v>1.8096488000000001E-2</v>
      </c>
      <c r="J8197">
        <v>19.75</v>
      </c>
      <c r="K8197">
        <v>179.566</v>
      </c>
      <c r="L8197">
        <v>4</v>
      </c>
    </row>
    <row r="8198" spans="1:12" x14ac:dyDescent="0.3">
      <c r="A8198" t="s">
        <v>10</v>
      </c>
      <c r="B8198" t="s">
        <v>1567</v>
      </c>
      <c r="C8198" t="s">
        <v>24</v>
      </c>
      <c r="D8198">
        <v>2022</v>
      </c>
      <c r="E8198" t="s">
        <v>20</v>
      </c>
      <c r="F8198" t="s">
        <v>21</v>
      </c>
      <c r="G8198" t="s">
        <v>15</v>
      </c>
      <c r="H8198" t="s">
        <v>22</v>
      </c>
      <c r="I8198">
        <v>0.122015744</v>
      </c>
      <c r="J8198">
        <v>20.7</v>
      </c>
      <c r="K8198">
        <v>117.7466</v>
      </c>
      <c r="L8198">
        <v>4</v>
      </c>
    </row>
    <row r="8199" spans="1:12"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1157</v>
      </c>
      <c r="C8200" t="s">
        <v>12</v>
      </c>
      <c r="D8200">
        <v>2022</v>
      </c>
      <c r="E8200" t="s">
        <v>20</v>
      </c>
      <c r="F8200" t="s">
        <v>21</v>
      </c>
      <c r="G8200" t="s">
        <v>15</v>
      </c>
      <c r="H8200" t="s">
        <v>22</v>
      </c>
      <c r="I8200">
        <v>3.107068E-2</v>
      </c>
      <c r="J8200">
        <v>7.55</v>
      </c>
      <c r="K8200">
        <v>122.4072</v>
      </c>
      <c r="L8200">
        <v>4</v>
      </c>
    </row>
    <row r="8201" spans="1:12"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
      <c r="A8207" t="s">
        <v>10</v>
      </c>
      <c r="B8207" t="s">
        <v>581</v>
      </c>
      <c r="C8207" t="s">
        <v>12</v>
      </c>
      <c r="D8207">
        <v>2022</v>
      </c>
      <c r="E8207" t="s">
        <v>20</v>
      </c>
      <c r="F8207" t="s">
        <v>21</v>
      </c>
      <c r="G8207" t="s">
        <v>15</v>
      </c>
      <c r="H8207" t="s">
        <v>22</v>
      </c>
      <c r="I8207">
        <v>0.116063284</v>
      </c>
      <c r="J8207">
        <v>16</v>
      </c>
      <c r="K8207">
        <v>59.124600000000001</v>
      </c>
      <c r="L8207">
        <v>4</v>
      </c>
    </row>
    <row r="8208" spans="1:12"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1484</v>
      </c>
      <c r="C8210" t="s">
        <v>12</v>
      </c>
      <c r="D8210">
        <v>2022</v>
      </c>
      <c r="E8210" t="s">
        <v>20</v>
      </c>
      <c r="F8210" t="s">
        <v>21</v>
      </c>
      <c r="G8210" t="s">
        <v>15</v>
      </c>
      <c r="H8210" t="s">
        <v>22</v>
      </c>
      <c r="I8210">
        <v>0</v>
      </c>
      <c r="J8210">
        <v>19.2</v>
      </c>
      <c r="K8210">
        <v>184.595</v>
      </c>
      <c r="L8210">
        <v>4</v>
      </c>
    </row>
    <row r="8211" spans="1:12"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
      <c r="A8219" t="s">
        <v>10</v>
      </c>
      <c r="B8219" t="s">
        <v>1470</v>
      </c>
      <c r="C8219" t="s">
        <v>54</v>
      </c>
      <c r="D8219">
        <v>2022</v>
      </c>
      <c r="E8219" t="s">
        <v>20</v>
      </c>
      <c r="F8219" t="s">
        <v>21</v>
      </c>
      <c r="G8219" t="s">
        <v>15</v>
      </c>
      <c r="H8219" t="s">
        <v>22</v>
      </c>
      <c r="I8219">
        <v>1.8098194000000001E-2</v>
      </c>
      <c r="J8219">
        <v>19.7</v>
      </c>
      <c r="K8219">
        <v>104.599</v>
      </c>
      <c r="L8219">
        <v>4</v>
      </c>
    </row>
    <row r="8220" spans="1:12"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x14ac:dyDescent="0.3">
      <c r="A8229" t="s">
        <v>10</v>
      </c>
      <c r="B8229" t="s">
        <v>903</v>
      </c>
      <c r="C8229" t="s">
        <v>48</v>
      </c>
      <c r="D8229">
        <v>2022</v>
      </c>
      <c r="E8229" t="s">
        <v>20</v>
      </c>
      <c r="F8229" t="s">
        <v>21</v>
      </c>
      <c r="G8229" t="s">
        <v>15</v>
      </c>
      <c r="H8229" t="s">
        <v>22</v>
      </c>
      <c r="I8229">
        <v>1.3551445000000001E-2</v>
      </c>
      <c r="J8229">
        <v>10.5</v>
      </c>
      <c r="K8229">
        <v>142.0154</v>
      </c>
      <c r="L8229">
        <v>4</v>
      </c>
    </row>
    <row r="8230" spans="1:12"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
      <c r="A8232" t="s">
        <v>10</v>
      </c>
      <c r="B8232" t="s">
        <v>887</v>
      </c>
      <c r="C8232" t="s">
        <v>48</v>
      </c>
      <c r="D8232">
        <v>2022</v>
      </c>
      <c r="E8232" t="s">
        <v>20</v>
      </c>
      <c r="F8232" t="s">
        <v>21</v>
      </c>
      <c r="G8232" t="s">
        <v>15</v>
      </c>
      <c r="H8232" t="s">
        <v>22</v>
      </c>
      <c r="I8232">
        <v>3.7723475999999999E-2</v>
      </c>
      <c r="J8232">
        <v>11.5</v>
      </c>
      <c r="K8232">
        <v>109.5254</v>
      </c>
      <c r="L8232">
        <v>4</v>
      </c>
    </row>
    <row r="8233" spans="1:12"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
      <c r="A8239" t="s">
        <v>10</v>
      </c>
      <c r="B8239" t="s">
        <v>520</v>
      </c>
      <c r="C8239" t="s">
        <v>32</v>
      </c>
      <c r="D8239">
        <v>2022</v>
      </c>
      <c r="E8239" t="s">
        <v>20</v>
      </c>
      <c r="F8239" t="s">
        <v>21</v>
      </c>
      <c r="G8239" t="s">
        <v>15</v>
      </c>
      <c r="H8239" t="s">
        <v>22</v>
      </c>
      <c r="I8239">
        <v>0.12844905500000001</v>
      </c>
      <c r="J8239">
        <v>8.27</v>
      </c>
      <c r="K8239">
        <v>186.5924</v>
      </c>
      <c r="L8239">
        <v>4</v>
      </c>
    </row>
    <row r="8240" spans="1:12" x14ac:dyDescent="0.3">
      <c r="A8240" t="s">
        <v>10</v>
      </c>
      <c r="B8240" t="s">
        <v>482</v>
      </c>
      <c r="C8240" t="s">
        <v>159</v>
      </c>
      <c r="D8240">
        <v>2022</v>
      </c>
      <c r="E8240" t="s">
        <v>20</v>
      </c>
      <c r="F8240" t="s">
        <v>21</v>
      </c>
      <c r="G8240" t="s">
        <v>15</v>
      </c>
      <c r="H8240" t="s">
        <v>22</v>
      </c>
      <c r="I8240">
        <v>0.135646297</v>
      </c>
      <c r="J8240">
        <v>17.7</v>
      </c>
      <c r="K8240">
        <v>186.0924</v>
      </c>
      <c r="L8240">
        <v>4</v>
      </c>
    </row>
    <row r="8241" spans="1:12"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x14ac:dyDescent="0.3">
      <c r="A8428" t="s">
        <v>10</v>
      </c>
      <c r="B8428" t="s">
        <v>866</v>
      </c>
      <c r="C8428" t="s">
        <v>95</v>
      </c>
      <c r="D8428">
        <v>2018</v>
      </c>
      <c r="E8428" t="s">
        <v>45</v>
      </c>
      <c r="F8428" t="s">
        <v>21</v>
      </c>
      <c r="G8428" t="s">
        <v>15</v>
      </c>
      <c r="H8428" t="s">
        <v>46</v>
      </c>
      <c r="I8428">
        <v>0.116108797</v>
      </c>
      <c r="K8428">
        <v>164.12100000000001</v>
      </c>
      <c r="L8428">
        <v>4</v>
      </c>
    </row>
    <row r="8429" spans="1:12" x14ac:dyDescent="0.3">
      <c r="A8429" t="s">
        <v>10</v>
      </c>
      <c r="B8429" t="s">
        <v>803</v>
      </c>
      <c r="C8429" t="s">
        <v>95</v>
      </c>
      <c r="D8429">
        <v>2018</v>
      </c>
      <c r="E8429" t="s">
        <v>45</v>
      </c>
      <c r="F8429" t="s">
        <v>21</v>
      </c>
      <c r="G8429" t="s">
        <v>15</v>
      </c>
      <c r="H8429" t="s">
        <v>46</v>
      </c>
      <c r="I8429">
        <v>2.2829734000000001E-2</v>
      </c>
      <c r="K8429">
        <v>241.0538</v>
      </c>
      <c r="L8429">
        <v>4</v>
      </c>
    </row>
    <row r="8430" spans="1:12" x14ac:dyDescent="0.3">
      <c r="A8430" t="s">
        <v>10</v>
      </c>
      <c r="B8430" t="s">
        <v>1544</v>
      </c>
      <c r="C8430" t="s">
        <v>95</v>
      </c>
      <c r="D8430">
        <v>2018</v>
      </c>
      <c r="E8430" t="s">
        <v>45</v>
      </c>
      <c r="F8430" t="s">
        <v>21</v>
      </c>
      <c r="G8430" t="s">
        <v>15</v>
      </c>
      <c r="H8430" t="s">
        <v>46</v>
      </c>
      <c r="I8430">
        <v>8.0346057999999998E-2</v>
      </c>
      <c r="K8430">
        <v>195.71100000000001</v>
      </c>
      <c r="L8430">
        <v>4</v>
      </c>
    </row>
    <row r="8431" spans="1:12" x14ac:dyDescent="0.3">
      <c r="A8431" t="s">
        <v>10</v>
      </c>
      <c r="B8431" t="s">
        <v>976</v>
      </c>
      <c r="C8431" t="s">
        <v>95</v>
      </c>
      <c r="D8431">
        <v>2018</v>
      </c>
      <c r="E8431" t="s">
        <v>45</v>
      </c>
      <c r="F8431" t="s">
        <v>21</v>
      </c>
      <c r="G8431" t="s">
        <v>15</v>
      </c>
      <c r="H8431" t="s">
        <v>46</v>
      </c>
      <c r="I8431">
        <v>6.2547321000000003E-2</v>
      </c>
      <c r="K8431">
        <v>88.382999999999996</v>
      </c>
      <c r="L8431">
        <v>4</v>
      </c>
    </row>
    <row r="8432" spans="1:12" x14ac:dyDescent="0.3">
      <c r="A8432" t="s">
        <v>10</v>
      </c>
      <c r="B8432" t="s">
        <v>934</v>
      </c>
      <c r="C8432" t="s">
        <v>95</v>
      </c>
      <c r="D8432">
        <v>2018</v>
      </c>
      <c r="E8432" t="s">
        <v>45</v>
      </c>
      <c r="F8432" t="s">
        <v>21</v>
      </c>
      <c r="G8432" t="s">
        <v>15</v>
      </c>
      <c r="H8432" t="s">
        <v>46</v>
      </c>
      <c r="I8432">
        <v>5.1366901E-2</v>
      </c>
      <c r="K8432">
        <v>77.064400000000006</v>
      </c>
      <c r="L8432">
        <v>4</v>
      </c>
    </row>
    <row r="8433" spans="1:12" x14ac:dyDescent="0.3">
      <c r="A8433" t="s">
        <v>10</v>
      </c>
      <c r="B8433" t="s">
        <v>904</v>
      </c>
      <c r="C8433" t="s">
        <v>95</v>
      </c>
      <c r="D8433">
        <v>2018</v>
      </c>
      <c r="E8433" t="s">
        <v>45</v>
      </c>
      <c r="F8433" t="s">
        <v>21</v>
      </c>
      <c r="G8433" t="s">
        <v>15</v>
      </c>
      <c r="H8433" t="s">
        <v>46</v>
      </c>
      <c r="I8433">
        <v>0.10351785300000001</v>
      </c>
      <c r="K8433">
        <v>164.95</v>
      </c>
      <c r="L8433">
        <v>4</v>
      </c>
    </row>
    <row r="8434" spans="1:12" x14ac:dyDescent="0.3">
      <c r="A8434" t="s">
        <v>10</v>
      </c>
      <c r="B8434" t="s">
        <v>1046</v>
      </c>
      <c r="C8434" t="s">
        <v>57</v>
      </c>
      <c r="D8434">
        <v>2018</v>
      </c>
      <c r="E8434" t="s">
        <v>45</v>
      </c>
      <c r="F8434" t="s">
        <v>21</v>
      </c>
      <c r="G8434" t="s">
        <v>15</v>
      </c>
      <c r="H8434" t="s">
        <v>46</v>
      </c>
      <c r="I8434">
        <v>0</v>
      </c>
      <c r="K8434">
        <v>84.590800000000002</v>
      </c>
      <c r="L8434">
        <v>4</v>
      </c>
    </row>
    <row r="8435" spans="1:12" x14ac:dyDescent="0.3">
      <c r="A8435" t="s">
        <v>10</v>
      </c>
      <c r="B8435" t="s">
        <v>867</v>
      </c>
      <c r="C8435" t="s">
        <v>57</v>
      </c>
      <c r="D8435">
        <v>2018</v>
      </c>
      <c r="E8435" t="s">
        <v>45</v>
      </c>
      <c r="F8435" t="s">
        <v>21</v>
      </c>
      <c r="G8435" t="s">
        <v>15</v>
      </c>
      <c r="H8435" t="s">
        <v>46</v>
      </c>
      <c r="I8435">
        <v>5.5289464000000003E-2</v>
      </c>
      <c r="K8435">
        <v>222.50880000000001</v>
      </c>
      <c r="L8435">
        <v>4</v>
      </c>
    </row>
    <row r="8436" spans="1:12" x14ac:dyDescent="0.3">
      <c r="A8436" t="s">
        <v>10</v>
      </c>
      <c r="B8436" t="s">
        <v>498</v>
      </c>
      <c r="C8436" t="s">
        <v>57</v>
      </c>
      <c r="D8436">
        <v>2018</v>
      </c>
      <c r="E8436" t="s">
        <v>45</v>
      </c>
      <c r="F8436" t="s">
        <v>21</v>
      </c>
      <c r="G8436" t="s">
        <v>15</v>
      </c>
      <c r="H8436" t="s">
        <v>46</v>
      </c>
      <c r="I8436">
        <v>1.5950065999999999E-2</v>
      </c>
      <c r="K8436">
        <v>47.740200000000002</v>
      </c>
      <c r="L8436">
        <v>4</v>
      </c>
    </row>
    <row r="8437" spans="1:12" x14ac:dyDescent="0.3">
      <c r="A8437" t="s">
        <v>10</v>
      </c>
      <c r="B8437" t="s">
        <v>596</v>
      </c>
      <c r="C8437" t="s">
        <v>74</v>
      </c>
      <c r="D8437">
        <v>2018</v>
      </c>
      <c r="E8437" t="s">
        <v>45</v>
      </c>
      <c r="F8437" t="s">
        <v>21</v>
      </c>
      <c r="G8437" t="s">
        <v>15</v>
      </c>
      <c r="H8437" t="s">
        <v>46</v>
      </c>
      <c r="I8437">
        <v>9.4109235999999999E-2</v>
      </c>
      <c r="K8437">
        <v>102.9332</v>
      </c>
      <c r="L8437">
        <v>4</v>
      </c>
    </row>
    <row r="8438" spans="1:12" x14ac:dyDescent="0.3">
      <c r="A8438" t="s">
        <v>10</v>
      </c>
      <c r="B8438" t="s">
        <v>429</v>
      </c>
      <c r="C8438" t="s">
        <v>74</v>
      </c>
      <c r="D8438">
        <v>2018</v>
      </c>
      <c r="E8438" t="s">
        <v>45</v>
      </c>
      <c r="F8438" t="s">
        <v>21</v>
      </c>
      <c r="G8438" t="s">
        <v>15</v>
      </c>
      <c r="H8438" t="s">
        <v>46</v>
      </c>
      <c r="I8438">
        <v>6.8754394999999996E-2</v>
      </c>
      <c r="K8438">
        <v>54.561399999999999</v>
      </c>
      <c r="L8438">
        <v>4</v>
      </c>
    </row>
    <row r="8439" spans="1:12" x14ac:dyDescent="0.3">
      <c r="A8439" t="s">
        <v>10</v>
      </c>
      <c r="B8439" t="s">
        <v>696</v>
      </c>
      <c r="C8439" t="s">
        <v>74</v>
      </c>
      <c r="D8439">
        <v>2018</v>
      </c>
      <c r="E8439" t="s">
        <v>45</v>
      </c>
      <c r="F8439" t="s">
        <v>21</v>
      </c>
      <c r="G8439" t="s">
        <v>15</v>
      </c>
      <c r="H8439" t="s">
        <v>46</v>
      </c>
      <c r="I8439">
        <v>6.5928735000000002E-2</v>
      </c>
      <c r="K8439">
        <v>183.0292</v>
      </c>
      <c r="L8439">
        <v>4</v>
      </c>
    </row>
    <row r="8440" spans="1:12" x14ac:dyDescent="0.3">
      <c r="A8440" t="s">
        <v>10</v>
      </c>
      <c r="B8440" t="s">
        <v>900</v>
      </c>
      <c r="C8440" t="s">
        <v>28</v>
      </c>
      <c r="D8440">
        <v>2018</v>
      </c>
      <c r="E8440" t="s">
        <v>45</v>
      </c>
      <c r="F8440" t="s">
        <v>21</v>
      </c>
      <c r="G8440" t="s">
        <v>15</v>
      </c>
      <c r="H8440" t="s">
        <v>46</v>
      </c>
      <c r="I8440">
        <v>5.4114924000000002E-2</v>
      </c>
      <c r="K8440">
        <v>58.490400000000001</v>
      </c>
      <c r="L8440">
        <v>4</v>
      </c>
    </row>
    <row r="8441" spans="1:12" x14ac:dyDescent="0.3">
      <c r="A8441" t="s">
        <v>10</v>
      </c>
      <c r="B8441" t="s">
        <v>251</v>
      </c>
      <c r="C8441" t="s">
        <v>28</v>
      </c>
      <c r="D8441">
        <v>2018</v>
      </c>
      <c r="E8441" t="s">
        <v>45</v>
      </c>
      <c r="F8441" t="s">
        <v>21</v>
      </c>
      <c r="G8441" t="s">
        <v>15</v>
      </c>
      <c r="H8441" t="s">
        <v>46</v>
      </c>
      <c r="I8441">
        <v>3.1116081E-2</v>
      </c>
      <c r="K8441">
        <v>55.264000000000003</v>
      </c>
      <c r="L8441">
        <v>4</v>
      </c>
    </row>
    <row r="8442" spans="1:12" x14ac:dyDescent="0.3">
      <c r="A8442" t="s">
        <v>10</v>
      </c>
      <c r="B8442" t="s">
        <v>395</v>
      </c>
      <c r="C8442" t="s">
        <v>28</v>
      </c>
      <c r="D8442">
        <v>2018</v>
      </c>
      <c r="E8442" t="s">
        <v>45</v>
      </c>
      <c r="F8442" t="s">
        <v>21</v>
      </c>
      <c r="G8442" t="s">
        <v>15</v>
      </c>
      <c r="H8442" t="s">
        <v>46</v>
      </c>
      <c r="I8442">
        <v>4.1049321999999999E-2</v>
      </c>
      <c r="K8442">
        <v>41.245399999999997</v>
      </c>
      <c r="L8442">
        <v>4</v>
      </c>
    </row>
    <row r="8443" spans="1:12" x14ac:dyDescent="0.3">
      <c r="A8443" t="s">
        <v>10</v>
      </c>
      <c r="B8443" t="s">
        <v>624</v>
      </c>
      <c r="C8443" t="s">
        <v>28</v>
      </c>
      <c r="D8443">
        <v>2018</v>
      </c>
      <c r="E8443" t="s">
        <v>45</v>
      </c>
      <c r="F8443" t="s">
        <v>21</v>
      </c>
      <c r="G8443" t="s">
        <v>15</v>
      </c>
      <c r="H8443" t="s">
        <v>46</v>
      </c>
      <c r="I8443">
        <v>5.0256161000000001E-2</v>
      </c>
      <c r="K8443">
        <v>150.9024</v>
      </c>
      <c r="L8443">
        <v>4</v>
      </c>
    </row>
    <row r="8444" spans="1:12" x14ac:dyDescent="0.3">
      <c r="A8444" t="s">
        <v>10</v>
      </c>
      <c r="B8444" t="s">
        <v>966</v>
      </c>
      <c r="C8444" t="s">
        <v>28</v>
      </c>
      <c r="D8444">
        <v>2018</v>
      </c>
      <c r="E8444" t="s">
        <v>45</v>
      </c>
      <c r="F8444" t="s">
        <v>21</v>
      </c>
      <c r="G8444" t="s">
        <v>15</v>
      </c>
      <c r="H8444" t="s">
        <v>46</v>
      </c>
      <c r="I8444">
        <v>3.4531701999999997E-2</v>
      </c>
      <c r="K8444">
        <v>142.24959999999999</v>
      </c>
      <c r="L8444">
        <v>4</v>
      </c>
    </row>
    <row r="8445" spans="1:12" x14ac:dyDescent="0.3">
      <c r="A8445" t="s">
        <v>10</v>
      </c>
      <c r="B8445" t="s">
        <v>357</v>
      </c>
      <c r="C8445" t="s">
        <v>28</v>
      </c>
      <c r="D8445">
        <v>2018</v>
      </c>
      <c r="E8445" t="s">
        <v>45</v>
      </c>
      <c r="F8445" t="s">
        <v>21</v>
      </c>
      <c r="G8445" t="s">
        <v>15</v>
      </c>
      <c r="H8445" t="s">
        <v>46</v>
      </c>
      <c r="I8445">
        <v>1.4661762E-2</v>
      </c>
      <c r="K8445">
        <v>89.117199999999997</v>
      </c>
      <c r="L8445">
        <v>4</v>
      </c>
    </row>
    <row r="8446" spans="1:12" x14ac:dyDescent="0.3">
      <c r="A8446" t="s">
        <v>10</v>
      </c>
      <c r="B8446" t="s">
        <v>511</v>
      </c>
      <c r="C8446" t="s">
        <v>28</v>
      </c>
      <c r="D8446">
        <v>2018</v>
      </c>
      <c r="E8446" t="s">
        <v>45</v>
      </c>
      <c r="F8446" t="s">
        <v>21</v>
      </c>
      <c r="G8446" t="s">
        <v>15</v>
      </c>
      <c r="H8446" t="s">
        <v>46</v>
      </c>
      <c r="I8446">
        <v>0.13933055699999999</v>
      </c>
      <c r="K8446">
        <v>109.5228</v>
      </c>
      <c r="L8446">
        <v>4</v>
      </c>
    </row>
    <row r="8447" spans="1:12" x14ac:dyDescent="0.3">
      <c r="A8447" t="s">
        <v>10</v>
      </c>
      <c r="B8447" t="s">
        <v>883</v>
      </c>
      <c r="C8447" t="s">
        <v>28</v>
      </c>
      <c r="D8447">
        <v>2018</v>
      </c>
      <c r="E8447" t="s">
        <v>45</v>
      </c>
      <c r="F8447" t="s">
        <v>21</v>
      </c>
      <c r="G8447" t="s">
        <v>15</v>
      </c>
      <c r="H8447" t="s">
        <v>46</v>
      </c>
      <c r="I8447">
        <v>0.10400212</v>
      </c>
      <c r="K8447">
        <v>79.796000000000006</v>
      </c>
      <c r="L8447">
        <v>4</v>
      </c>
    </row>
    <row r="8448" spans="1:12" x14ac:dyDescent="0.3">
      <c r="A8448" t="s">
        <v>10</v>
      </c>
      <c r="B8448" t="s">
        <v>186</v>
      </c>
      <c r="C8448" t="s">
        <v>28</v>
      </c>
      <c r="D8448">
        <v>2018</v>
      </c>
      <c r="E8448" t="s">
        <v>45</v>
      </c>
      <c r="F8448" t="s">
        <v>21</v>
      </c>
      <c r="G8448" t="s">
        <v>15</v>
      </c>
      <c r="H8448" t="s">
        <v>46</v>
      </c>
      <c r="I8448">
        <v>1.9672774000000001E-2</v>
      </c>
      <c r="K8448">
        <v>86.419799999999995</v>
      </c>
      <c r="L8448">
        <v>4</v>
      </c>
    </row>
    <row r="8449" spans="1:12" x14ac:dyDescent="0.3">
      <c r="A8449" t="s">
        <v>10</v>
      </c>
      <c r="B8449" t="s">
        <v>711</v>
      </c>
      <c r="C8449" t="s">
        <v>28</v>
      </c>
      <c r="D8449">
        <v>2018</v>
      </c>
      <c r="E8449" t="s">
        <v>45</v>
      </c>
      <c r="F8449" t="s">
        <v>21</v>
      </c>
      <c r="G8449" t="s">
        <v>15</v>
      </c>
      <c r="H8449" t="s">
        <v>46</v>
      </c>
      <c r="I8449">
        <v>0.132500853</v>
      </c>
      <c r="K8449">
        <v>220.37979999999999</v>
      </c>
      <c r="L8449">
        <v>4</v>
      </c>
    </row>
    <row r="8450" spans="1:12" x14ac:dyDescent="0.3">
      <c r="A8450" t="s">
        <v>10</v>
      </c>
      <c r="B8450" t="s">
        <v>1587</v>
      </c>
      <c r="C8450" t="s">
        <v>67</v>
      </c>
      <c r="D8450">
        <v>2018</v>
      </c>
      <c r="E8450" t="s">
        <v>45</v>
      </c>
      <c r="F8450" t="s">
        <v>21</v>
      </c>
      <c r="G8450" t="s">
        <v>15</v>
      </c>
      <c r="H8450" t="s">
        <v>46</v>
      </c>
      <c r="I8450">
        <v>7.3562475000000002E-2</v>
      </c>
      <c r="K8450">
        <v>217.6482</v>
      </c>
      <c r="L8450">
        <v>4</v>
      </c>
    </row>
    <row r="8451" spans="1:12" x14ac:dyDescent="0.3">
      <c r="A8451" t="s">
        <v>10</v>
      </c>
      <c r="B8451" t="s">
        <v>1586</v>
      </c>
      <c r="C8451" t="s">
        <v>67</v>
      </c>
      <c r="D8451">
        <v>2018</v>
      </c>
      <c r="E8451" t="s">
        <v>45</v>
      </c>
      <c r="F8451" t="s">
        <v>21</v>
      </c>
      <c r="G8451" t="s">
        <v>15</v>
      </c>
      <c r="H8451" t="s">
        <v>46</v>
      </c>
      <c r="I8451">
        <v>0.16388212899999999</v>
      </c>
      <c r="K8451">
        <v>113.2518</v>
      </c>
      <c r="L8451">
        <v>4</v>
      </c>
    </row>
    <row r="8452" spans="1:12" x14ac:dyDescent="0.3">
      <c r="A8452" t="s">
        <v>10</v>
      </c>
      <c r="B8452" t="s">
        <v>1347</v>
      </c>
      <c r="C8452" t="s">
        <v>67</v>
      </c>
      <c r="D8452">
        <v>2018</v>
      </c>
      <c r="E8452" t="s">
        <v>45</v>
      </c>
      <c r="F8452" t="s">
        <v>21</v>
      </c>
      <c r="G8452" t="s">
        <v>15</v>
      </c>
      <c r="H8452" t="s">
        <v>46</v>
      </c>
      <c r="I8452">
        <v>7.5033720000000003E-3</v>
      </c>
      <c r="K8452">
        <v>146.71019999999999</v>
      </c>
      <c r="L8452">
        <v>4</v>
      </c>
    </row>
    <row r="8453" spans="1:12" x14ac:dyDescent="0.3">
      <c r="A8453" t="s">
        <v>10</v>
      </c>
      <c r="B8453" t="s">
        <v>397</v>
      </c>
      <c r="C8453" t="s">
        <v>67</v>
      </c>
      <c r="D8453">
        <v>2018</v>
      </c>
      <c r="E8453" t="s">
        <v>45</v>
      </c>
      <c r="F8453" t="s">
        <v>21</v>
      </c>
      <c r="G8453" t="s">
        <v>15</v>
      </c>
      <c r="H8453" t="s">
        <v>46</v>
      </c>
      <c r="I8453">
        <v>0.18240726600000001</v>
      </c>
      <c r="K8453">
        <v>109.157</v>
      </c>
      <c r="L8453">
        <v>4</v>
      </c>
    </row>
    <row r="8454" spans="1:12" x14ac:dyDescent="0.3">
      <c r="A8454" t="s">
        <v>10</v>
      </c>
      <c r="B8454" t="s">
        <v>1607</v>
      </c>
      <c r="C8454" t="s">
        <v>67</v>
      </c>
      <c r="D8454">
        <v>2018</v>
      </c>
      <c r="E8454" t="s">
        <v>45</v>
      </c>
      <c r="F8454" t="s">
        <v>21</v>
      </c>
      <c r="G8454" t="s">
        <v>15</v>
      </c>
      <c r="H8454" t="s">
        <v>46</v>
      </c>
      <c r="I8454">
        <v>2.9742069999999999E-2</v>
      </c>
      <c r="K8454">
        <v>88.951400000000007</v>
      </c>
      <c r="L8454">
        <v>4</v>
      </c>
    </row>
    <row r="8455" spans="1:12" x14ac:dyDescent="0.3">
      <c r="A8455" t="s">
        <v>10</v>
      </c>
      <c r="B8455" t="s">
        <v>187</v>
      </c>
      <c r="C8455" t="s">
        <v>67</v>
      </c>
      <c r="D8455">
        <v>2018</v>
      </c>
      <c r="E8455" t="s">
        <v>45</v>
      </c>
      <c r="F8455" t="s">
        <v>21</v>
      </c>
      <c r="G8455" t="s">
        <v>15</v>
      </c>
      <c r="H8455" t="s">
        <v>46</v>
      </c>
      <c r="I8455">
        <v>2.3209536999999999E-2</v>
      </c>
      <c r="K8455">
        <v>183.36080000000001</v>
      </c>
      <c r="L8455">
        <v>4</v>
      </c>
    </row>
    <row r="8456" spans="1:12" x14ac:dyDescent="0.3">
      <c r="A8456" t="s">
        <v>10</v>
      </c>
      <c r="B8456" t="s">
        <v>1139</v>
      </c>
      <c r="C8456" t="s">
        <v>67</v>
      </c>
      <c r="D8456">
        <v>2018</v>
      </c>
      <c r="E8456" t="s">
        <v>45</v>
      </c>
      <c r="F8456" t="s">
        <v>21</v>
      </c>
      <c r="G8456" t="s">
        <v>15</v>
      </c>
      <c r="H8456" t="s">
        <v>46</v>
      </c>
      <c r="I8456">
        <v>7.3562475000000002E-2</v>
      </c>
      <c r="K8456">
        <v>254.93559999999999</v>
      </c>
      <c r="L8456">
        <v>4</v>
      </c>
    </row>
    <row r="8457" spans="1:12" x14ac:dyDescent="0.3">
      <c r="A8457" t="s">
        <v>10</v>
      </c>
      <c r="B8457" t="s">
        <v>1400</v>
      </c>
      <c r="C8457" t="s">
        <v>67</v>
      </c>
      <c r="D8457">
        <v>2018</v>
      </c>
      <c r="E8457" t="s">
        <v>45</v>
      </c>
      <c r="F8457" t="s">
        <v>21</v>
      </c>
      <c r="G8457" t="s">
        <v>15</v>
      </c>
      <c r="H8457" t="s">
        <v>46</v>
      </c>
      <c r="I8457">
        <v>0</v>
      </c>
      <c r="K8457">
        <v>196.4794</v>
      </c>
      <c r="L8457">
        <v>4</v>
      </c>
    </row>
    <row r="8458" spans="1:12" x14ac:dyDescent="0.3">
      <c r="A8458" t="s">
        <v>10</v>
      </c>
      <c r="B8458" t="s">
        <v>1308</v>
      </c>
      <c r="C8458" t="s">
        <v>67</v>
      </c>
      <c r="D8458">
        <v>2018</v>
      </c>
      <c r="E8458" t="s">
        <v>45</v>
      </c>
      <c r="F8458" t="s">
        <v>21</v>
      </c>
      <c r="G8458" t="s">
        <v>15</v>
      </c>
      <c r="H8458" t="s">
        <v>46</v>
      </c>
      <c r="I8458">
        <v>0.127108578</v>
      </c>
      <c r="K8458">
        <v>120.744</v>
      </c>
      <c r="L8458">
        <v>4</v>
      </c>
    </row>
    <row r="8459" spans="1:12" x14ac:dyDescent="0.3">
      <c r="A8459" t="s">
        <v>10</v>
      </c>
      <c r="B8459" t="s">
        <v>1244</v>
      </c>
      <c r="C8459" t="s">
        <v>67</v>
      </c>
      <c r="D8459">
        <v>2018</v>
      </c>
      <c r="E8459" t="s">
        <v>45</v>
      </c>
      <c r="F8459" t="s">
        <v>21</v>
      </c>
      <c r="G8459" t="s">
        <v>15</v>
      </c>
      <c r="H8459" t="s">
        <v>46</v>
      </c>
      <c r="I8459">
        <v>4.2412572000000003E-2</v>
      </c>
      <c r="K8459">
        <v>119.0782</v>
      </c>
      <c r="L8459">
        <v>4</v>
      </c>
    </row>
    <row r="8460" spans="1:12" x14ac:dyDescent="0.3">
      <c r="A8460" t="s">
        <v>10</v>
      </c>
      <c r="B8460" t="s">
        <v>125</v>
      </c>
      <c r="C8460" t="s">
        <v>67</v>
      </c>
      <c r="D8460">
        <v>2018</v>
      </c>
      <c r="E8460" t="s">
        <v>45</v>
      </c>
      <c r="F8460" t="s">
        <v>21</v>
      </c>
      <c r="G8460" t="s">
        <v>15</v>
      </c>
      <c r="H8460" t="s">
        <v>46</v>
      </c>
      <c r="I8460">
        <v>7.5791641000000007E-2</v>
      </c>
      <c r="K8460">
        <v>193.3794</v>
      </c>
      <c r="L8460">
        <v>4</v>
      </c>
    </row>
    <row r="8461" spans="1:12" x14ac:dyDescent="0.3">
      <c r="A8461" t="s">
        <v>10</v>
      </c>
      <c r="B8461" t="s">
        <v>1500</v>
      </c>
      <c r="C8461" t="s">
        <v>67</v>
      </c>
      <c r="D8461">
        <v>2018</v>
      </c>
      <c r="E8461" t="s">
        <v>45</v>
      </c>
      <c r="F8461" t="s">
        <v>21</v>
      </c>
      <c r="G8461" t="s">
        <v>15</v>
      </c>
      <c r="H8461" t="s">
        <v>46</v>
      </c>
      <c r="I8461">
        <v>8.7221496999999995E-2</v>
      </c>
      <c r="K8461">
        <v>263.99099999999999</v>
      </c>
      <c r="L8461">
        <v>4</v>
      </c>
    </row>
    <row r="8462" spans="1:12" x14ac:dyDescent="0.3">
      <c r="A8462" t="s">
        <v>10</v>
      </c>
      <c r="B8462" t="s">
        <v>804</v>
      </c>
      <c r="C8462" t="s">
        <v>67</v>
      </c>
      <c r="D8462">
        <v>2018</v>
      </c>
      <c r="E8462" t="s">
        <v>45</v>
      </c>
      <c r="F8462" t="s">
        <v>21</v>
      </c>
      <c r="G8462" t="s">
        <v>15</v>
      </c>
      <c r="H8462" t="s">
        <v>46</v>
      </c>
      <c r="I8462">
        <v>0.170000805</v>
      </c>
      <c r="K8462">
        <v>155.96299999999999</v>
      </c>
      <c r="L8462">
        <v>4</v>
      </c>
    </row>
    <row r="8463" spans="1:12" x14ac:dyDescent="0.3">
      <c r="A8463" t="s">
        <v>10</v>
      </c>
      <c r="B8463" t="s">
        <v>744</v>
      </c>
      <c r="C8463" t="s">
        <v>67</v>
      </c>
      <c r="D8463">
        <v>2018</v>
      </c>
      <c r="E8463" t="s">
        <v>45</v>
      </c>
      <c r="F8463" t="s">
        <v>21</v>
      </c>
      <c r="G8463" t="s">
        <v>15</v>
      </c>
      <c r="H8463" t="s">
        <v>46</v>
      </c>
      <c r="I8463">
        <v>3.0362777000000001E-2</v>
      </c>
      <c r="K8463">
        <v>210.52440000000001</v>
      </c>
      <c r="L8463">
        <v>4</v>
      </c>
    </row>
    <row r="8464" spans="1:12" x14ac:dyDescent="0.3">
      <c r="A8464" t="s">
        <v>10</v>
      </c>
      <c r="B8464" t="s">
        <v>702</v>
      </c>
      <c r="C8464" t="s">
        <v>67</v>
      </c>
      <c r="D8464">
        <v>2018</v>
      </c>
      <c r="E8464" t="s">
        <v>45</v>
      </c>
      <c r="F8464" t="s">
        <v>21</v>
      </c>
      <c r="G8464" t="s">
        <v>15</v>
      </c>
      <c r="H8464" t="s">
        <v>46</v>
      </c>
      <c r="I8464">
        <v>4.7358246E-2</v>
      </c>
      <c r="K8464">
        <v>123.1756</v>
      </c>
      <c r="L8464">
        <v>4</v>
      </c>
    </row>
    <row r="8465" spans="1:12" x14ac:dyDescent="0.3">
      <c r="A8465" t="s">
        <v>10</v>
      </c>
      <c r="B8465" t="s">
        <v>126</v>
      </c>
      <c r="C8465" t="s">
        <v>24</v>
      </c>
      <c r="D8465">
        <v>2018</v>
      </c>
      <c r="E8465" t="s">
        <v>45</v>
      </c>
      <c r="F8465" t="s">
        <v>21</v>
      </c>
      <c r="G8465" t="s">
        <v>15</v>
      </c>
      <c r="H8465" t="s">
        <v>46</v>
      </c>
      <c r="I8465">
        <v>6.6406853000000002E-2</v>
      </c>
      <c r="K8465">
        <v>259.7962</v>
      </c>
      <c r="L8465">
        <v>4</v>
      </c>
    </row>
    <row r="8466" spans="1:12" x14ac:dyDescent="0.3">
      <c r="A8466" t="s">
        <v>10</v>
      </c>
      <c r="B8466" t="s">
        <v>1416</v>
      </c>
      <c r="C8466" t="s">
        <v>24</v>
      </c>
      <c r="D8466">
        <v>2018</v>
      </c>
      <c r="E8466" t="s">
        <v>45</v>
      </c>
      <c r="F8466" t="s">
        <v>21</v>
      </c>
      <c r="G8466" t="s">
        <v>15</v>
      </c>
      <c r="H8466" t="s">
        <v>46</v>
      </c>
      <c r="I8466">
        <v>3.5666654999999998E-2</v>
      </c>
      <c r="K8466">
        <v>246.24860000000001</v>
      </c>
      <c r="L8466">
        <v>4</v>
      </c>
    </row>
    <row r="8467" spans="1:12" x14ac:dyDescent="0.3">
      <c r="A8467" t="s">
        <v>10</v>
      </c>
      <c r="B8467" t="s">
        <v>503</v>
      </c>
      <c r="C8467" t="s">
        <v>24</v>
      </c>
      <c r="D8467">
        <v>2018</v>
      </c>
      <c r="E8467" t="s">
        <v>45</v>
      </c>
      <c r="F8467" t="s">
        <v>21</v>
      </c>
      <c r="G8467" t="s">
        <v>15</v>
      </c>
      <c r="H8467" t="s">
        <v>46</v>
      </c>
      <c r="I8467">
        <v>4.3690499000000001E-2</v>
      </c>
      <c r="K8467">
        <v>60.2194</v>
      </c>
      <c r="L8467">
        <v>4</v>
      </c>
    </row>
    <row r="8468" spans="1:12" x14ac:dyDescent="0.3">
      <c r="A8468" t="s">
        <v>10</v>
      </c>
      <c r="B8468" t="s">
        <v>1489</v>
      </c>
      <c r="C8468" t="s">
        <v>24</v>
      </c>
      <c r="D8468">
        <v>2018</v>
      </c>
      <c r="E8468" t="s">
        <v>45</v>
      </c>
      <c r="F8468" t="s">
        <v>21</v>
      </c>
      <c r="G8468" t="s">
        <v>15</v>
      </c>
      <c r="H8468" t="s">
        <v>46</v>
      </c>
      <c r="I8468">
        <v>7.2559350999999994E-2</v>
      </c>
      <c r="K8468">
        <v>199.3426</v>
      </c>
      <c r="L8468">
        <v>4</v>
      </c>
    </row>
    <row r="8469" spans="1:12" x14ac:dyDescent="0.3">
      <c r="A8469" t="s">
        <v>10</v>
      </c>
      <c r="B8469" t="s">
        <v>1494</v>
      </c>
      <c r="C8469" t="s">
        <v>24</v>
      </c>
      <c r="D8469">
        <v>2018</v>
      </c>
      <c r="E8469" t="s">
        <v>45</v>
      </c>
      <c r="F8469" t="s">
        <v>21</v>
      </c>
      <c r="G8469" t="s">
        <v>15</v>
      </c>
      <c r="H8469" t="s">
        <v>46</v>
      </c>
      <c r="I8469">
        <v>7.0349402000000005E-2</v>
      </c>
      <c r="K8469">
        <v>228.601</v>
      </c>
      <c r="L8469">
        <v>4</v>
      </c>
    </row>
    <row r="8470" spans="1:12" x14ac:dyDescent="0.3">
      <c r="A8470" t="s">
        <v>10</v>
      </c>
      <c r="B8470" t="s">
        <v>442</v>
      </c>
      <c r="C8470" t="s">
        <v>24</v>
      </c>
      <c r="D8470">
        <v>2018</v>
      </c>
      <c r="E8470" t="s">
        <v>45</v>
      </c>
      <c r="F8470" t="s">
        <v>21</v>
      </c>
      <c r="G8470" t="s">
        <v>15</v>
      </c>
      <c r="H8470" t="s">
        <v>46</v>
      </c>
      <c r="I8470">
        <v>7.5676338999999995E-2</v>
      </c>
      <c r="K8470">
        <v>190.4846</v>
      </c>
      <c r="L8470">
        <v>4</v>
      </c>
    </row>
    <row r="8471" spans="1:12" x14ac:dyDescent="0.3">
      <c r="A8471" t="s">
        <v>10</v>
      </c>
      <c r="B8471" t="s">
        <v>1487</v>
      </c>
      <c r="C8471" t="s">
        <v>24</v>
      </c>
      <c r="D8471">
        <v>2018</v>
      </c>
      <c r="E8471" t="s">
        <v>45</v>
      </c>
      <c r="F8471" t="s">
        <v>21</v>
      </c>
      <c r="G8471" t="s">
        <v>15</v>
      </c>
      <c r="H8471" t="s">
        <v>46</v>
      </c>
      <c r="I8471">
        <v>0</v>
      </c>
      <c r="K8471">
        <v>145.27600000000001</v>
      </c>
      <c r="L8471">
        <v>4</v>
      </c>
    </row>
    <row r="8472" spans="1:12" x14ac:dyDescent="0.3">
      <c r="A8472" t="s">
        <v>10</v>
      </c>
      <c r="B8472" t="s">
        <v>941</v>
      </c>
      <c r="C8472" t="s">
        <v>24</v>
      </c>
      <c r="D8472">
        <v>2018</v>
      </c>
      <c r="E8472" t="s">
        <v>45</v>
      </c>
      <c r="F8472" t="s">
        <v>21</v>
      </c>
      <c r="G8472" t="s">
        <v>15</v>
      </c>
      <c r="H8472" t="s">
        <v>46</v>
      </c>
      <c r="I8472">
        <v>9.3463545999999995E-2</v>
      </c>
      <c r="K8472">
        <v>189.12139999999999</v>
      </c>
      <c r="L8472">
        <v>4</v>
      </c>
    </row>
    <row r="8473" spans="1:12" x14ac:dyDescent="0.3">
      <c r="A8473" t="s">
        <v>10</v>
      </c>
      <c r="B8473" t="s">
        <v>270</v>
      </c>
      <c r="C8473" t="s">
        <v>24</v>
      </c>
      <c r="D8473">
        <v>2018</v>
      </c>
      <c r="E8473" t="s">
        <v>45</v>
      </c>
      <c r="F8473" t="s">
        <v>21</v>
      </c>
      <c r="G8473" t="s">
        <v>15</v>
      </c>
      <c r="H8473" t="s">
        <v>46</v>
      </c>
      <c r="I8473">
        <v>0.15895490300000001</v>
      </c>
      <c r="K8473">
        <v>34.955800000000004</v>
      </c>
      <c r="L8473">
        <v>4</v>
      </c>
    </row>
    <row r="8474" spans="1:12" x14ac:dyDescent="0.3">
      <c r="A8474" t="s">
        <v>10</v>
      </c>
      <c r="B8474" t="s">
        <v>921</v>
      </c>
      <c r="C8474" t="s">
        <v>24</v>
      </c>
      <c r="D8474">
        <v>2018</v>
      </c>
      <c r="E8474" t="s">
        <v>45</v>
      </c>
      <c r="F8474" t="s">
        <v>21</v>
      </c>
      <c r="G8474" t="s">
        <v>15</v>
      </c>
      <c r="H8474" t="s">
        <v>46</v>
      </c>
      <c r="I8474">
        <v>3.7340835000000003E-2</v>
      </c>
      <c r="K8474">
        <v>163.15260000000001</v>
      </c>
      <c r="L8474">
        <v>4</v>
      </c>
    </row>
    <row r="8475" spans="1:12" x14ac:dyDescent="0.3">
      <c r="A8475" t="s">
        <v>10</v>
      </c>
      <c r="B8475" t="s">
        <v>340</v>
      </c>
      <c r="C8475" t="s">
        <v>24</v>
      </c>
      <c r="D8475">
        <v>2018</v>
      </c>
      <c r="E8475" t="s">
        <v>45</v>
      </c>
      <c r="F8475" t="s">
        <v>21</v>
      </c>
      <c r="G8475" t="s">
        <v>15</v>
      </c>
      <c r="H8475" t="s">
        <v>46</v>
      </c>
      <c r="I8475">
        <v>0.159081735</v>
      </c>
      <c r="K8475">
        <v>193.5478</v>
      </c>
      <c r="L8475">
        <v>4</v>
      </c>
    </row>
    <row r="8476" spans="1:12" x14ac:dyDescent="0.3">
      <c r="A8476" t="s">
        <v>10</v>
      </c>
      <c r="B8476" t="s">
        <v>1157</v>
      </c>
      <c r="C8476" t="s">
        <v>12</v>
      </c>
      <c r="D8476">
        <v>2018</v>
      </c>
      <c r="E8476" t="s">
        <v>45</v>
      </c>
      <c r="F8476" t="s">
        <v>21</v>
      </c>
      <c r="G8476" t="s">
        <v>15</v>
      </c>
      <c r="H8476" t="s">
        <v>46</v>
      </c>
      <c r="I8476">
        <v>3.0794774E-2</v>
      </c>
      <c r="K8476">
        <v>122.9072</v>
      </c>
      <c r="L8476">
        <v>4</v>
      </c>
    </row>
    <row r="8477" spans="1:12" x14ac:dyDescent="0.3">
      <c r="A8477" t="s">
        <v>10</v>
      </c>
      <c r="B8477" t="s">
        <v>868</v>
      </c>
      <c r="C8477" t="s">
        <v>12</v>
      </c>
      <c r="D8477">
        <v>2018</v>
      </c>
      <c r="E8477" t="s">
        <v>45</v>
      </c>
      <c r="F8477" t="s">
        <v>21</v>
      </c>
      <c r="G8477" t="s">
        <v>15</v>
      </c>
      <c r="H8477" t="s">
        <v>46</v>
      </c>
      <c r="I8477">
        <v>5.8542509E-2</v>
      </c>
      <c r="K8477">
        <v>188.35300000000001</v>
      </c>
      <c r="L8477">
        <v>4</v>
      </c>
    </row>
    <row r="8478" spans="1:12" x14ac:dyDescent="0.3">
      <c r="A8478" t="s">
        <v>10</v>
      </c>
      <c r="B8478" t="s">
        <v>156</v>
      </c>
      <c r="C8478" t="s">
        <v>12</v>
      </c>
      <c r="D8478">
        <v>2018</v>
      </c>
      <c r="E8478" t="s">
        <v>45</v>
      </c>
      <c r="F8478" t="s">
        <v>21</v>
      </c>
      <c r="G8478" t="s">
        <v>15</v>
      </c>
      <c r="H8478" t="s">
        <v>46</v>
      </c>
      <c r="I8478">
        <v>0.118883724</v>
      </c>
      <c r="K8478">
        <v>180.39760000000001</v>
      </c>
      <c r="L8478">
        <v>4</v>
      </c>
    </row>
    <row r="8479" spans="1:12" x14ac:dyDescent="0.3">
      <c r="A8479" t="s">
        <v>10</v>
      </c>
      <c r="B8479" t="s">
        <v>808</v>
      </c>
      <c r="C8479" t="s">
        <v>12</v>
      </c>
      <c r="D8479">
        <v>2018</v>
      </c>
      <c r="E8479" t="s">
        <v>45</v>
      </c>
      <c r="F8479" t="s">
        <v>21</v>
      </c>
      <c r="G8479" t="s">
        <v>15</v>
      </c>
      <c r="H8479" t="s">
        <v>46</v>
      </c>
      <c r="I8479">
        <v>4.7704151E-2</v>
      </c>
      <c r="K8479">
        <v>187.25559999999999</v>
      </c>
      <c r="L8479">
        <v>4</v>
      </c>
    </row>
    <row r="8480" spans="1:12" x14ac:dyDescent="0.3">
      <c r="A8480" t="s">
        <v>10</v>
      </c>
      <c r="B8480" t="s">
        <v>1536</v>
      </c>
      <c r="C8480" t="s">
        <v>12</v>
      </c>
      <c r="D8480">
        <v>2018</v>
      </c>
      <c r="E8480" t="s">
        <v>45</v>
      </c>
      <c r="F8480" t="s">
        <v>21</v>
      </c>
      <c r="G8480" t="s">
        <v>15</v>
      </c>
      <c r="H8480" t="s">
        <v>46</v>
      </c>
      <c r="I8480">
        <v>0.106538757</v>
      </c>
      <c r="K8480">
        <v>145.4786</v>
      </c>
      <c r="L8480">
        <v>4</v>
      </c>
    </row>
    <row r="8481" spans="1:12" x14ac:dyDescent="0.3">
      <c r="A8481" t="s">
        <v>10</v>
      </c>
      <c r="B8481" t="s">
        <v>1027</v>
      </c>
      <c r="C8481" t="s">
        <v>12</v>
      </c>
      <c r="D8481">
        <v>2018</v>
      </c>
      <c r="E8481" t="s">
        <v>45</v>
      </c>
      <c r="F8481" t="s">
        <v>21</v>
      </c>
      <c r="G8481" t="s">
        <v>15</v>
      </c>
      <c r="H8481" t="s">
        <v>46</v>
      </c>
      <c r="I8481">
        <v>4.6382792999999999E-2</v>
      </c>
      <c r="K8481">
        <v>122.83880000000001</v>
      </c>
      <c r="L8481">
        <v>4</v>
      </c>
    </row>
    <row r="8482" spans="1:12" x14ac:dyDescent="0.3">
      <c r="A8482" t="s">
        <v>10</v>
      </c>
      <c r="B8482" t="s">
        <v>1514</v>
      </c>
      <c r="C8482" t="s">
        <v>12</v>
      </c>
      <c r="D8482">
        <v>2018</v>
      </c>
      <c r="E8482" t="s">
        <v>45</v>
      </c>
      <c r="F8482" t="s">
        <v>21</v>
      </c>
      <c r="G8482" t="s">
        <v>15</v>
      </c>
      <c r="H8482" t="s">
        <v>46</v>
      </c>
      <c r="I8482">
        <v>1.2974937000000001E-2</v>
      </c>
      <c r="K8482">
        <v>115.9834</v>
      </c>
      <c r="L8482">
        <v>4</v>
      </c>
    </row>
    <row r="8483" spans="1:12" x14ac:dyDescent="0.3">
      <c r="A8483" t="s">
        <v>10</v>
      </c>
      <c r="B8483" t="s">
        <v>774</v>
      </c>
      <c r="C8483" t="s">
        <v>12</v>
      </c>
      <c r="D8483">
        <v>2018</v>
      </c>
      <c r="E8483" t="s">
        <v>45</v>
      </c>
      <c r="F8483" t="s">
        <v>21</v>
      </c>
      <c r="G8483" t="s">
        <v>15</v>
      </c>
      <c r="H8483" t="s">
        <v>46</v>
      </c>
      <c r="I8483">
        <v>0.10242248700000001</v>
      </c>
      <c r="K8483">
        <v>131.49680000000001</v>
      </c>
      <c r="L8483">
        <v>4</v>
      </c>
    </row>
    <row r="8484" spans="1:12" x14ac:dyDescent="0.3">
      <c r="A8484" t="s">
        <v>10</v>
      </c>
      <c r="B8484" t="s">
        <v>864</v>
      </c>
      <c r="C8484" t="s">
        <v>12</v>
      </c>
      <c r="D8484">
        <v>2018</v>
      </c>
      <c r="E8484" t="s">
        <v>45</v>
      </c>
      <c r="F8484" t="s">
        <v>21</v>
      </c>
      <c r="G8484" t="s">
        <v>15</v>
      </c>
      <c r="H8484" t="s">
        <v>46</v>
      </c>
      <c r="I8484">
        <v>4.3443753000000002E-2</v>
      </c>
      <c r="K8484">
        <v>158.19460000000001</v>
      </c>
      <c r="L8484">
        <v>4</v>
      </c>
    </row>
    <row r="8485" spans="1:12" x14ac:dyDescent="0.3">
      <c r="A8485" t="s">
        <v>10</v>
      </c>
      <c r="B8485" t="s">
        <v>581</v>
      </c>
      <c r="C8485" t="s">
        <v>12</v>
      </c>
      <c r="D8485">
        <v>2018</v>
      </c>
      <c r="E8485" t="s">
        <v>45</v>
      </c>
      <c r="F8485" t="s">
        <v>21</v>
      </c>
      <c r="G8485" t="s">
        <v>15</v>
      </c>
      <c r="H8485" t="s">
        <v>46</v>
      </c>
      <c r="I8485">
        <v>0.115032648</v>
      </c>
      <c r="K8485">
        <v>58.0246</v>
      </c>
      <c r="L8485">
        <v>4</v>
      </c>
    </row>
    <row r="8486" spans="1:12" x14ac:dyDescent="0.3">
      <c r="A8486" t="s">
        <v>10</v>
      </c>
      <c r="B8486" t="s">
        <v>1246</v>
      </c>
      <c r="C8486" t="s">
        <v>12</v>
      </c>
      <c r="D8486">
        <v>2018</v>
      </c>
      <c r="E8486" t="s">
        <v>45</v>
      </c>
      <c r="F8486" t="s">
        <v>21</v>
      </c>
      <c r="G8486" t="s">
        <v>15</v>
      </c>
      <c r="H8486" t="s">
        <v>46</v>
      </c>
      <c r="I8486">
        <v>2.1353641999999999E-2</v>
      </c>
      <c r="K8486">
        <v>122.10980000000001</v>
      </c>
      <c r="L8486">
        <v>4</v>
      </c>
    </row>
    <row r="8487" spans="1:12" x14ac:dyDescent="0.3">
      <c r="A8487" t="s">
        <v>10</v>
      </c>
      <c r="B8487" t="s">
        <v>341</v>
      </c>
      <c r="C8487" t="s">
        <v>12</v>
      </c>
      <c r="D8487">
        <v>2018</v>
      </c>
      <c r="E8487" t="s">
        <v>45</v>
      </c>
      <c r="F8487" t="s">
        <v>21</v>
      </c>
      <c r="G8487" t="s">
        <v>15</v>
      </c>
      <c r="H8487" t="s">
        <v>46</v>
      </c>
      <c r="I8487">
        <v>0.141997869</v>
      </c>
      <c r="K8487">
        <v>90.551400000000001</v>
      </c>
      <c r="L8487">
        <v>4</v>
      </c>
    </row>
    <row r="8488" spans="1:12" x14ac:dyDescent="0.3">
      <c r="A8488" t="s">
        <v>10</v>
      </c>
      <c r="B8488" t="s">
        <v>279</v>
      </c>
      <c r="C8488" t="s">
        <v>12</v>
      </c>
      <c r="D8488">
        <v>2018</v>
      </c>
      <c r="E8488" t="s">
        <v>45</v>
      </c>
      <c r="F8488" t="s">
        <v>21</v>
      </c>
      <c r="G8488" t="s">
        <v>15</v>
      </c>
      <c r="H8488" t="s">
        <v>46</v>
      </c>
      <c r="I8488">
        <v>4.2949108999999999E-2</v>
      </c>
      <c r="K8488">
        <v>199.57419999999999</v>
      </c>
      <c r="L8488">
        <v>4</v>
      </c>
    </row>
    <row r="8489" spans="1:12" x14ac:dyDescent="0.3">
      <c r="A8489" t="s">
        <v>10</v>
      </c>
      <c r="B8489" t="s">
        <v>1028</v>
      </c>
      <c r="C8489" t="s">
        <v>12</v>
      </c>
      <c r="D8489">
        <v>2018</v>
      </c>
      <c r="E8489" t="s">
        <v>45</v>
      </c>
      <c r="F8489" t="s">
        <v>21</v>
      </c>
      <c r="G8489" t="s">
        <v>15</v>
      </c>
      <c r="H8489" t="s">
        <v>46</v>
      </c>
      <c r="I8489">
        <v>7.3700837000000005E-2</v>
      </c>
      <c r="K8489">
        <v>207.16380000000001</v>
      </c>
      <c r="L8489">
        <v>4</v>
      </c>
    </row>
    <row r="8490" spans="1:12" x14ac:dyDescent="0.3">
      <c r="A8490" t="s">
        <v>10</v>
      </c>
      <c r="B8490" t="s">
        <v>1092</v>
      </c>
      <c r="C8490" t="s">
        <v>12</v>
      </c>
      <c r="D8490">
        <v>2018</v>
      </c>
      <c r="E8490" t="s">
        <v>45</v>
      </c>
      <c r="F8490" t="s">
        <v>21</v>
      </c>
      <c r="G8490" t="s">
        <v>15</v>
      </c>
      <c r="H8490" t="s">
        <v>46</v>
      </c>
      <c r="I8490">
        <v>0.17024678200000001</v>
      </c>
      <c r="K8490">
        <v>141.5838</v>
      </c>
      <c r="L8490">
        <v>4</v>
      </c>
    </row>
    <row r="8491" spans="1:12" x14ac:dyDescent="0.3">
      <c r="A8491" t="s">
        <v>10</v>
      </c>
      <c r="B8491" t="s">
        <v>1348</v>
      </c>
      <c r="C8491" t="s">
        <v>12</v>
      </c>
      <c r="D8491">
        <v>2018</v>
      </c>
      <c r="E8491" t="s">
        <v>45</v>
      </c>
      <c r="F8491" t="s">
        <v>21</v>
      </c>
      <c r="G8491" t="s">
        <v>15</v>
      </c>
      <c r="H8491" t="s">
        <v>46</v>
      </c>
      <c r="I8491">
        <v>2.4286378000000001E-2</v>
      </c>
      <c r="K8491">
        <v>194.71100000000001</v>
      </c>
      <c r="L8491">
        <v>4</v>
      </c>
    </row>
    <row r="8492" spans="1:12" x14ac:dyDescent="0.3">
      <c r="A8492" t="s">
        <v>10</v>
      </c>
      <c r="B8492" t="s">
        <v>767</v>
      </c>
      <c r="C8492" t="s">
        <v>54</v>
      </c>
      <c r="D8492">
        <v>2018</v>
      </c>
      <c r="E8492" t="s">
        <v>45</v>
      </c>
      <c r="F8492" t="s">
        <v>21</v>
      </c>
      <c r="G8492" t="s">
        <v>15</v>
      </c>
      <c r="H8492" t="s">
        <v>46</v>
      </c>
      <c r="I8492">
        <v>5.7143514999999999E-2</v>
      </c>
      <c r="K8492">
        <v>151.8366</v>
      </c>
      <c r="L8492">
        <v>4</v>
      </c>
    </row>
    <row r="8493" spans="1:12" x14ac:dyDescent="0.3">
      <c r="A8493" t="s">
        <v>10</v>
      </c>
      <c r="B8493" t="s">
        <v>1013</v>
      </c>
      <c r="C8493" t="s">
        <v>54</v>
      </c>
      <c r="D8493">
        <v>2018</v>
      </c>
      <c r="E8493" t="s">
        <v>45</v>
      </c>
      <c r="F8493" t="s">
        <v>21</v>
      </c>
      <c r="G8493" t="s">
        <v>15</v>
      </c>
      <c r="H8493" t="s">
        <v>46</v>
      </c>
      <c r="I8493">
        <v>0.157701958</v>
      </c>
      <c r="K8493">
        <v>158.7946</v>
      </c>
      <c r="L8493">
        <v>4</v>
      </c>
    </row>
    <row r="8494" spans="1:12" x14ac:dyDescent="0.3">
      <c r="A8494" t="s">
        <v>10</v>
      </c>
      <c r="B8494" t="s">
        <v>886</v>
      </c>
      <c r="C8494" t="s">
        <v>54</v>
      </c>
      <c r="D8494">
        <v>2018</v>
      </c>
      <c r="E8494" t="s">
        <v>45</v>
      </c>
      <c r="F8494" t="s">
        <v>21</v>
      </c>
      <c r="G8494" t="s">
        <v>15</v>
      </c>
      <c r="H8494" t="s">
        <v>46</v>
      </c>
      <c r="I8494">
        <v>8.5250610000000004E-3</v>
      </c>
      <c r="K8494">
        <v>72.503799999999998</v>
      </c>
      <c r="L8494">
        <v>4</v>
      </c>
    </row>
    <row r="8495" spans="1:12" x14ac:dyDescent="0.3">
      <c r="A8495" t="s">
        <v>10</v>
      </c>
      <c r="B8495" t="s">
        <v>274</v>
      </c>
      <c r="C8495" t="s">
        <v>54</v>
      </c>
      <c r="D8495">
        <v>2018</v>
      </c>
      <c r="E8495" t="s">
        <v>45</v>
      </c>
      <c r="F8495" t="s">
        <v>21</v>
      </c>
      <c r="G8495" t="s">
        <v>15</v>
      </c>
      <c r="H8495" t="s">
        <v>46</v>
      </c>
      <c r="I8495">
        <v>0.17064649400000001</v>
      </c>
      <c r="K8495">
        <v>46.337600000000002</v>
      </c>
      <c r="L8495">
        <v>4</v>
      </c>
    </row>
    <row r="8496" spans="1:12" x14ac:dyDescent="0.3">
      <c r="A8496" t="s">
        <v>10</v>
      </c>
      <c r="B8496" t="s">
        <v>1380</v>
      </c>
      <c r="C8496" t="s">
        <v>54</v>
      </c>
      <c r="D8496">
        <v>2018</v>
      </c>
      <c r="E8496" t="s">
        <v>45</v>
      </c>
      <c r="F8496" t="s">
        <v>21</v>
      </c>
      <c r="G8496" t="s">
        <v>15</v>
      </c>
      <c r="H8496" t="s">
        <v>46</v>
      </c>
      <c r="I8496">
        <v>0.150122794</v>
      </c>
      <c r="K8496">
        <v>154.53139999999999</v>
      </c>
      <c r="L8496">
        <v>4</v>
      </c>
    </row>
    <row r="8497" spans="1:12" x14ac:dyDescent="0.3">
      <c r="A8497" t="s">
        <v>10</v>
      </c>
      <c r="B8497" t="s">
        <v>1029</v>
      </c>
      <c r="C8497" t="s">
        <v>54</v>
      </c>
      <c r="D8497">
        <v>2018</v>
      </c>
      <c r="E8497" t="s">
        <v>45</v>
      </c>
      <c r="F8497" t="s">
        <v>21</v>
      </c>
      <c r="G8497" t="s">
        <v>15</v>
      </c>
      <c r="H8497" t="s">
        <v>46</v>
      </c>
      <c r="I8497">
        <v>6.0800116000000001E-2</v>
      </c>
      <c r="K8497">
        <v>44.474400000000003</v>
      </c>
      <c r="L8497">
        <v>4</v>
      </c>
    </row>
    <row r="8498" spans="1:12" x14ac:dyDescent="0.3">
      <c r="A8498" t="s">
        <v>10</v>
      </c>
      <c r="B8498" t="s">
        <v>1209</v>
      </c>
      <c r="C8498" t="s">
        <v>54</v>
      </c>
      <c r="D8498">
        <v>2018</v>
      </c>
      <c r="E8498" t="s">
        <v>45</v>
      </c>
      <c r="F8498" t="s">
        <v>21</v>
      </c>
      <c r="G8498" t="s">
        <v>15</v>
      </c>
      <c r="H8498" t="s">
        <v>46</v>
      </c>
      <c r="I8498">
        <v>7.5753207000000003E-2</v>
      </c>
      <c r="K8498">
        <v>111.1202</v>
      </c>
      <c r="L8498">
        <v>4</v>
      </c>
    </row>
    <row r="8499" spans="1:12" x14ac:dyDescent="0.3">
      <c r="A8499" t="s">
        <v>10</v>
      </c>
      <c r="B8499" t="s">
        <v>715</v>
      </c>
      <c r="C8499" t="s">
        <v>48</v>
      </c>
      <c r="D8499">
        <v>2018</v>
      </c>
      <c r="E8499" t="s">
        <v>45</v>
      </c>
      <c r="F8499" t="s">
        <v>21</v>
      </c>
      <c r="G8499" t="s">
        <v>15</v>
      </c>
      <c r="H8499" t="s">
        <v>46</v>
      </c>
      <c r="I8499">
        <v>4.1180766000000001E-2</v>
      </c>
      <c r="K8499">
        <v>37.918999999999997</v>
      </c>
      <c r="L8499">
        <v>4</v>
      </c>
    </row>
    <row r="8500" spans="1:12" x14ac:dyDescent="0.3">
      <c r="A8500" t="s">
        <v>10</v>
      </c>
      <c r="B8500" t="s">
        <v>699</v>
      </c>
      <c r="C8500" t="s">
        <v>48</v>
      </c>
      <c r="D8500">
        <v>2018</v>
      </c>
      <c r="E8500" t="s">
        <v>45</v>
      </c>
      <c r="F8500" t="s">
        <v>21</v>
      </c>
      <c r="G8500" t="s">
        <v>15</v>
      </c>
      <c r="H8500" t="s">
        <v>46</v>
      </c>
      <c r="I8500">
        <v>3.2750291000000001E-2</v>
      </c>
      <c r="K8500">
        <v>112.15179999999999</v>
      </c>
      <c r="L8500">
        <v>4</v>
      </c>
    </row>
    <row r="8501" spans="1:12" x14ac:dyDescent="0.3">
      <c r="A8501" t="s">
        <v>10</v>
      </c>
      <c r="B8501" t="s">
        <v>403</v>
      </c>
      <c r="C8501" t="s">
        <v>48</v>
      </c>
      <c r="D8501">
        <v>2018</v>
      </c>
      <c r="E8501" t="s">
        <v>45</v>
      </c>
      <c r="F8501" t="s">
        <v>21</v>
      </c>
      <c r="G8501" t="s">
        <v>15</v>
      </c>
      <c r="H8501" t="s">
        <v>46</v>
      </c>
      <c r="I8501">
        <v>3.8341654000000003E-2</v>
      </c>
      <c r="K8501">
        <v>146.21019999999999</v>
      </c>
      <c r="L8501">
        <v>4</v>
      </c>
    </row>
    <row r="8502" spans="1:12" x14ac:dyDescent="0.3">
      <c r="A8502" t="s">
        <v>10</v>
      </c>
      <c r="B8502" t="s">
        <v>810</v>
      </c>
      <c r="C8502" t="s">
        <v>48</v>
      </c>
      <c r="D8502">
        <v>2018</v>
      </c>
      <c r="E8502" t="s">
        <v>45</v>
      </c>
      <c r="F8502" t="s">
        <v>21</v>
      </c>
      <c r="G8502" t="s">
        <v>15</v>
      </c>
      <c r="H8502" t="s">
        <v>46</v>
      </c>
      <c r="I8502">
        <v>4.4764725999999998E-2</v>
      </c>
      <c r="K8502">
        <v>102.4016</v>
      </c>
      <c r="L8502">
        <v>4</v>
      </c>
    </row>
    <row r="8503" spans="1:12" x14ac:dyDescent="0.3">
      <c r="A8503" t="s">
        <v>10</v>
      </c>
      <c r="B8503" t="s">
        <v>458</v>
      </c>
      <c r="C8503" t="s">
        <v>48</v>
      </c>
      <c r="D8503">
        <v>2018</v>
      </c>
      <c r="E8503" t="s">
        <v>45</v>
      </c>
      <c r="F8503" t="s">
        <v>21</v>
      </c>
      <c r="G8503" t="s">
        <v>15</v>
      </c>
      <c r="H8503" t="s">
        <v>46</v>
      </c>
      <c r="I8503">
        <v>4.5542628000000002E-2</v>
      </c>
      <c r="K8503">
        <v>170.7132</v>
      </c>
      <c r="L8503">
        <v>4</v>
      </c>
    </row>
    <row r="8504" spans="1:12" x14ac:dyDescent="0.3">
      <c r="A8504" t="s">
        <v>10</v>
      </c>
      <c r="B8504" t="s">
        <v>1098</v>
      </c>
      <c r="C8504" t="s">
        <v>48</v>
      </c>
      <c r="D8504">
        <v>2018</v>
      </c>
      <c r="E8504" t="s">
        <v>45</v>
      </c>
      <c r="F8504" t="s">
        <v>21</v>
      </c>
      <c r="G8504" t="s">
        <v>15</v>
      </c>
      <c r="H8504" t="s">
        <v>46</v>
      </c>
      <c r="I8504">
        <v>2.5616191E-2</v>
      </c>
      <c r="K8504">
        <v>188.18719999999999</v>
      </c>
      <c r="L8504">
        <v>4</v>
      </c>
    </row>
    <row r="8505" spans="1:12" x14ac:dyDescent="0.3">
      <c r="A8505" t="s">
        <v>10</v>
      </c>
      <c r="B8505" t="s">
        <v>530</v>
      </c>
      <c r="C8505" t="s">
        <v>48</v>
      </c>
      <c r="D8505">
        <v>2018</v>
      </c>
      <c r="E8505" t="s">
        <v>45</v>
      </c>
      <c r="F8505" t="s">
        <v>21</v>
      </c>
      <c r="G8505" t="s">
        <v>15</v>
      </c>
      <c r="H8505" t="s">
        <v>46</v>
      </c>
      <c r="I8505">
        <v>1.8472714000000001E-2</v>
      </c>
      <c r="K8505">
        <v>109.95440000000001</v>
      </c>
      <c r="L8505">
        <v>4</v>
      </c>
    </row>
    <row r="8506" spans="1:12" x14ac:dyDescent="0.3">
      <c r="A8506" t="s">
        <v>10</v>
      </c>
      <c r="B8506" t="s">
        <v>1485</v>
      </c>
      <c r="C8506" t="s">
        <v>48</v>
      </c>
      <c r="D8506">
        <v>2018</v>
      </c>
      <c r="E8506" t="s">
        <v>45</v>
      </c>
      <c r="F8506" t="s">
        <v>21</v>
      </c>
      <c r="G8506" t="s">
        <v>15</v>
      </c>
      <c r="H8506" t="s">
        <v>46</v>
      </c>
      <c r="I8506">
        <v>8.0695805999999995E-2</v>
      </c>
      <c r="K8506">
        <v>51.300800000000002</v>
      </c>
      <c r="L8506">
        <v>4</v>
      </c>
    </row>
    <row r="8507" spans="1:12" x14ac:dyDescent="0.3">
      <c r="A8507" t="s">
        <v>10</v>
      </c>
      <c r="B8507" t="s">
        <v>1094</v>
      </c>
      <c r="C8507" t="s">
        <v>48</v>
      </c>
      <c r="D8507">
        <v>2018</v>
      </c>
      <c r="E8507" t="s">
        <v>45</v>
      </c>
      <c r="F8507" t="s">
        <v>21</v>
      </c>
      <c r="G8507" t="s">
        <v>15</v>
      </c>
      <c r="H8507" t="s">
        <v>46</v>
      </c>
      <c r="I8507">
        <v>7.6387366999999998E-2</v>
      </c>
      <c r="K8507">
        <v>112.15179999999999</v>
      </c>
      <c r="L8507">
        <v>4</v>
      </c>
    </row>
    <row r="8508" spans="1:12" x14ac:dyDescent="0.3">
      <c r="A8508" t="s">
        <v>10</v>
      </c>
      <c r="B8508" t="s">
        <v>965</v>
      </c>
      <c r="C8508" t="s">
        <v>48</v>
      </c>
      <c r="D8508">
        <v>2018</v>
      </c>
      <c r="E8508" t="s">
        <v>45</v>
      </c>
      <c r="F8508" t="s">
        <v>21</v>
      </c>
      <c r="G8508" t="s">
        <v>15</v>
      </c>
      <c r="H8508" t="s">
        <v>46</v>
      </c>
      <c r="I8508">
        <v>6.6274639999999996E-2</v>
      </c>
      <c r="K8508">
        <v>54.195599999999999</v>
      </c>
      <c r="L8508">
        <v>4</v>
      </c>
    </row>
    <row r="8509" spans="1:12" x14ac:dyDescent="0.3">
      <c r="A8509" t="s">
        <v>10</v>
      </c>
      <c r="B8509" t="s">
        <v>1124</v>
      </c>
      <c r="C8509" t="s">
        <v>48</v>
      </c>
      <c r="D8509">
        <v>2018</v>
      </c>
      <c r="E8509" t="s">
        <v>45</v>
      </c>
      <c r="F8509" t="s">
        <v>21</v>
      </c>
      <c r="G8509" t="s">
        <v>15</v>
      </c>
      <c r="H8509" t="s">
        <v>46</v>
      </c>
      <c r="I8509">
        <v>0.13405742600000001</v>
      </c>
      <c r="K8509">
        <v>45.340200000000003</v>
      </c>
      <c r="L8509">
        <v>4</v>
      </c>
    </row>
    <row r="8510" spans="1:12" x14ac:dyDescent="0.3">
      <c r="A8510" t="s">
        <v>10</v>
      </c>
      <c r="B8510" t="s">
        <v>1401</v>
      </c>
      <c r="C8510" t="s">
        <v>48</v>
      </c>
      <c r="D8510">
        <v>2018</v>
      </c>
      <c r="E8510" t="s">
        <v>45</v>
      </c>
      <c r="F8510" t="s">
        <v>21</v>
      </c>
      <c r="G8510" t="s">
        <v>15</v>
      </c>
      <c r="H8510" t="s">
        <v>46</v>
      </c>
      <c r="I8510">
        <v>8.9120515999999997E-2</v>
      </c>
      <c r="K8510">
        <v>149.8708</v>
      </c>
      <c r="L8510">
        <v>4</v>
      </c>
    </row>
    <row r="8511" spans="1:12" x14ac:dyDescent="0.3">
      <c r="A8511" t="s">
        <v>10</v>
      </c>
      <c r="B8511" t="s">
        <v>259</v>
      </c>
      <c r="C8511" t="s">
        <v>48</v>
      </c>
      <c r="D8511">
        <v>2018</v>
      </c>
      <c r="E8511" t="s">
        <v>45</v>
      </c>
      <c r="F8511" t="s">
        <v>21</v>
      </c>
      <c r="G8511" t="s">
        <v>15</v>
      </c>
      <c r="H8511" t="s">
        <v>46</v>
      </c>
      <c r="I8511">
        <v>2.8871234999999999E-2</v>
      </c>
      <c r="K8511">
        <v>188.78980000000001</v>
      </c>
      <c r="L8511">
        <v>4</v>
      </c>
    </row>
    <row r="8512" spans="1:12" x14ac:dyDescent="0.3">
      <c r="A8512" t="s">
        <v>10</v>
      </c>
      <c r="B8512" t="s">
        <v>133</v>
      </c>
      <c r="C8512" t="s">
        <v>48</v>
      </c>
      <c r="D8512">
        <v>2018</v>
      </c>
      <c r="E8512" t="s">
        <v>45</v>
      </c>
      <c r="F8512" t="s">
        <v>21</v>
      </c>
      <c r="G8512" t="s">
        <v>15</v>
      </c>
      <c r="H8512" t="s">
        <v>46</v>
      </c>
      <c r="I8512">
        <v>5.7835325E-2</v>
      </c>
      <c r="K8512">
        <v>57.556199999999997</v>
      </c>
      <c r="L8512">
        <v>4</v>
      </c>
    </row>
    <row r="8513" spans="1:12" x14ac:dyDescent="0.3">
      <c r="A8513" t="s">
        <v>10</v>
      </c>
      <c r="B8513" t="s">
        <v>1519</v>
      </c>
      <c r="C8513" t="s">
        <v>48</v>
      </c>
      <c r="D8513">
        <v>2018</v>
      </c>
      <c r="E8513" t="s">
        <v>45</v>
      </c>
      <c r="F8513" t="s">
        <v>21</v>
      </c>
      <c r="G8513" t="s">
        <v>15</v>
      </c>
      <c r="H8513" t="s">
        <v>46</v>
      </c>
      <c r="I8513">
        <v>4.7037322999999999E-2</v>
      </c>
      <c r="K8513">
        <v>96.406800000000004</v>
      </c>
      <c r="L8513">
        <v>4</v>
      </c>
    </row>
    <row r="8514" spans="1:12" x14ac:dyDescent="0.3">
      <c r="A8514" t="s">
        <v>10</v>
      </c>
      <c r="B8514" t="s">
        <v>660</v>
      </c>
      <c r="C8514" t="s">
        <v>48</v>
      </c>
      <c r="D8514">
        <v>2018</v>
      </c>
      <c r="E8514" t="s">
        <v>45</v>
      </c>
      <c r="F8514" t="s">
        <v>21</v>
      </c>
      <c r="G8514" t="s">
        <v>15</v>
      </c>
      <c r="H8514" t="s">
        <v>46</v>
      </c>
      <c r="I8514">
        <v>9.6730426999999994E-2</v>
      </c>
      <c r="K8514">
        <v>159.02619999999999</v>
      </c>
      <c r="L8514">
        <v>4</v>
      </c>
    </row>
    <row r="8515" spans="1:12"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x14ac:dyDescent="0.3">
      <c r="A8523" t="s">
        <v>10</v>
      </c>
      <c r="B8523" t="s">
        <v>85</v>
      </c>
      <c r="C8523" t="s">
        <v>67</v>
      </c>
      <c r="D8523">
        <v>2018</v>
      </c>
      <c r="E8523" t="s">
        <v>45</v>
      </c>
      <c r="F8523" t="s">
        <v>21</v>
      </c>
      <c r="G8523" t="s">
        <v>15</v>
      </c>
      <c r="H8523" t="s">
        <v>46</v>
      </c>
      <c r="I8523">
        <v>0.107714834</v>
      </c>
      <c r="K8523">
        <v>97.875200000000007</v>
      </c>
      <c r="L8523">
        <v>4</v>
      </c>
    </row>
    <row r="8524" spans="1:12"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8931-B402-43EB-AAC9-460A289B81EC}">
  <dimension ref="A1:V52"/>
  <sheetViews>
    <sheetView zoomScale="70" zoomScaleNormal="70" workbookViewId="0"/>
  </sheetViews>
  <sheetFormatPr defaultRowHeight="15.6" x14ac:dyDescent="0.3"/>
  <cols>
    <col min="1" max="1" width="19.09765625" bestFit="1" customWidth="1"/>
    <col min="2" max="2" width="9.8984375" bestFit="1" customWidth="1"/>
    <col min="3" max="3" width="9.59765625" bestFit="1" customWidth="1"/>
    <col min="4" max="4" width="13.5" bestFit="1" customWidth="1"/>
    <col min="5" max="5" width="9.8984375" bestFit="1" customWidth="1"/>
    <col min="6" max="6" width="12.296875" bestFit="1" customWidth="1"/>
    <col min="7" max="7" width="15.19921875" bestFit="1" customWidth="1"/>
    <col min="8" max="8" width="7.3984375" bestFit="1" customWidth="1"/>
    <col min="9" max="9" width="17.296875" bestFit="1" customWidth="1"/>
    <col min="10" max="10" width="9.8984375" bestFit="1" customWidth="1"/>
    <col min="11" max="11" width="11.8984375" bestFit="1" customWidth="1"/>
    <col min="12" max="12" width="12.296875" bestFit="1" customWidth="1"/>
    <col min="13" max="13" width="9.8984375" bestFit="1" customWidth="1"/>
    <col min="14" max="14" width="7.8984375" bestFit="1" customWidth="1"/>
    <col min="15" max="15" width="17.296875" bestFit="1" customWidth="1"/>
    <col min="16" max="16" width="8.59765625" bestFit="1" customWidth="1"/>
    <col min="17" max="17" width="17.296875" bestFit="1" customWidth="1"/>
    <col min="18" max="18" width="12.296875" bestFit="1" customWidth="1"/>
    <col min="19" max="19" width="9.8984375" bestFit="1" customWidth="1"/>
    <col min="21" max="21" width="13.8984375" bestFit="1" customWidth="1"/>
    <col min="22" max="22" width="9.8984375" bestFit="1" customWidth="1"/>
  </cols>
  <sheetData>
    <row r="1" spans="1:22" ht="16.2" thickBot="1" x14ac:dyDescent="0.35"/>
    <row r="2" spans="1:22" ht="25.2" thickBot="1" x14ac:dyDescent="0.6">
      <c r="A2" s="23" t="s">
        <v>1614</v>
      </c>
      <c r="B2" s="24"/>
      <c r="C2" s="24"/>
      <c r="D2" s="24"/>
      <c r="E2" s="25"/>
    </row>
    <row r="3" spans="1:22" ht="16.2" thickBot="1" x14ac:dyDescent="0.35">
      <c r="A3" s="48" t="s">
        <v>1610</v>
      </c>
      <c r="B3" s="49" t="s">
        <v>1611</v>
      </c>
      <c r="C3" s="49" t="s">
        <v>1612</v>
      </c>
      <c r="D3" s="18" t="s">
        <v>1613</v>
      </c>
      <c r="E3" s="3"/>
    </row>
    <row r="4" spans="1:22" ht="16.2" thickBot="1" x14ac:dyDescent="0.35">
      <c r="A4" s="45">
        <v>1201681.4928000034</v>
      </c>
      <c r="B4" s="46">
        <v>140.99278338613203</v>
      </c>
      <c r="C4" s="46">
        <v>8523</v>
      </c>
      <c r="D4" s="47">
        <v>3.9658570925731196</v>
      </c>
      <c r="E4" s="3"/>
    </row>
    <row r="5" spans="1:22" x14ac:dyDescent="0.3">
      <c r="A5" s="2"/>
      <c r="E5" s="3"/>
    </row>
    <row r="6" spans="1:22" x14ac:dyDescent="0.3">
      <c r="A6" s="4">
        <f>GETPIVOTDATA("Total Sales",$A$3)</f>
        <v>1201681.4928000034</v>
      </c>
      <c r="B6" s="5">
        <f>GETPIVOTDATA("Average Sales",$A$3)</f>
        <v>140.99278338613203</v>
      </c>
      <c r="C6">
        <f>GETPIVOTDATA("Items Sold",$A$3)</f>
        <v>8523</v>
      </c>
      <c r="D6" s="6">
        <f>GETPIVOTDATA("Average Rating",$A$3)</f>
        <v>3.9658570925731196</v>
      </c>
      <c r="E6" s="3"/>
    </row>
    <row r="7" spans="1:22" ht="16.2" thickBot="1" x14ac:dyDescent="0.35">
      <c r="A7" s="7"/>
      <c r="B7" s="8"/>
      <c r="C7" s="8"/>
      <c r="D7" s="8"/>
      <c r="E7" s="9"/>
    </row>
    <row r="9" spans="1:22" ht="25.2" thickBot="1" x14ac:dyDescent="0.6">
      <c r="A9" s="26" t="s">
        <v>1621</v>
      </c>
      <c r="B9" s="35"/>
      <c r="C9" s="35"/>
      <c r="D9" s="35"/>
      <c r="E9" s="35"/>
      <c r="F9" s="35"/>
      <c r="G9" s="35"/>
      <c r="H9" s="35"/>
      <c r="I9" s="35"/>
      <c r="J9" s="35"/>
      <c r="K9" s="35"/>
      <c r="L9" s="35"/>
      <c r="M9" s="35"/>
      <c r="N9" s="35"/>
      <c r="O9" s="35"/>
      <c r="P9" s="35"/>
      <c r="Q9" s="35"/>
      <c r="R9" s="35"/>
      <c r="S9" s="35"/>
      <c r="T9" s="35"/>
      <c r="U9" s="35"/>
      <c r="V9" s="35"/>
    </row>
    <row r="10" spans="1:22" ht="25.2" thickBot="1" x14ac:dyDescent="0.6">
      <c r="A10" s="23" t="s">
        <v>1617</v>
      </c>
      <c r="B10" s="24"/>
      <c r="C10" s="24"/>
      <c r="D10" s="25"/>
      <c r="F10" s="23" t="s">
        <v>1620</v>
      </c>
      <c r="G10" s="24"/>
      <c r="H10" s="24"/>
      <c r="I10" s="24"/>
      <c r="J10" s="25"/>
      <c r="L10" s="23" t="s">
        <v>1623</v>
      </c>
      <c r="M10" s="27"/>
      <c r="N10" s="27"/>
      <c r="O10" s="27"/>
      <c r="P10" s="28"/>
      <c r="R10" s="23" t="s">
        <v>1625</v>
      </c>
      <c r="S10" s="27"/>
      <c r="T10" s="27"/>
      <c r="U10" s="27"/>
      <c r="V10" s="28"/>
    </row>
    <row r="11" spans="1:22" ht="16.2" thickBot="1" x14ac:dyDescent="0.35">
      <c r="A11" s="44" t="s">
        <v>1615</v>
      </c>
      <c r="B11" s="18" t="s">
        <v>1610</v>
      </c>
      <c r="D11" s="3"/>
      <c r="F11" s="44" t="s">
        <v>1610</v>
      </c>
      <c r="G11" s="44" t="s">
        <v>1618</v>
      </c>
      <c r="H11" s="21"/>
      <c r="J11" s="3"/>
      <c r="L11" s="44" t="s">
        <v>1615</v>
      </c>
      <c r="M11" s="21" t="s">
        <v>1610</v>
      </c>
      <c r="P11" s="3"/>
      <c r="R11" s="44" t="s">
        <v>1615</v>
      </c>
      <c r="S11" s="21" t="s">
        <v>1610</v>
      </c>
      <c r="T11" s="29"/>
      <c r="U11" s="29" t="s">
        <v>1624</v>
      </c>
      <c r="V11" s="3" t="s">
        <v>1610</v>
      </c>
    </row>
    <row r="12" spans="1:22" ht="16.2" thickBot="1" x14ac:dyDescent="0.35">
      <c r="A12" s="37" t="s">
        <v>17</v>
      </c>
      <c r="B12" s="19">
        <v>776319.68840000057</v>
      </c>
      <c r="D12" s="3"/>
      <c r="F12" s="44" t="s">
        <v>1615</v>
      </c>
      <c r="G12" s="48" t="s">
        <v>10</v>
      </c>
      <c r="H12" s="18" t="s">
        <v>17</v>
      </c>
      <c r="J12" s="3"/>
      <c r="L12" s="50" t="s">
        <v>30</v>
      </c>
      <c r="M12" s="19">
        <v>248991.58600000024</v>
      </c>
      <c r="P12" s="3"/>
      <c r="R12" s="37" t="s">
        <v>14</v>
      </c>
      <c r="S12" s="19">
        <v>336397.81199999945</v>
      </c>
      <c r="T12" s="29"/>
      <c r="U12" s="29" t="str">
        <f>R12</f>
        <v>Tier 1</v>
      </c>
      <c r="V12" s="15">
        <f>GETPIVOTDATA("Sales",$R$11,"Outlet Location Type","Tier 1")</f>
        <v>336397.81199999945</v>
      </c>
    </row>
    <row r="13" spans="1:22" ht="16.2" thickBot="1" x14ac:dyDescent="0.35">
      <c r="A13" s="10" t="s">
        <v>10</v>
      </c>
      <c r="B13" s="11">
        <v>425361.8043999995</v>
      </c>
      <c r="D13" s="3"/>
      <c r="F13" s="50" t="s">
        <v>14</v>
      </c>
      <c r="G13" s="12">
        <v>121349.89940000001</v>
      </c>
      <c r="H13" s="13">
        <v>215047.9126000001</v>
      </c>
      <c r="J13" s="3"/>
      <c r="L13" s="37" t="s">
        <v>15</v>
      </c>
      <c r="M13" s="11">
        <v>507895.7363999993</v>
      </c>
      <c r="P13" s="3"/>
      <c r="R13" s="37" t="s">
        <v>34</v>
      </c>
      <c r="S13" s="11">
        <v>393150.64759999956</v>
      </c>
      <c r="T13" s="29"/>
      <c r="U13" s="29" t="str">
        <f t="shared" ref="U13:U14" si="0">R13</f>
        <v>Tier 2</v>
      </c>
      <c r="V13" s="15">
        <f>GETPIVOTDATA("Sales",$R$11,"Outlet Location Type","Tier 2")</f>
        <v>393150.64759999956</v>
      </c>
    </row>
    <row r="14" spans="1:22" ht="16.2" thickBot="1" x14ac:dyDescent="0.35">
      <c r="A14" s="10" t="s">
        <v>1616</v>
      </c>
      <c r="B14" s="31">
        <v>1201681.4928000001</v>
      </c>
      <c r="D14" s="3"/>
      <c r="F14" s="37" t="s">
        <v>34</v>
      </c>
      <c r="G14" s="14">
        <v>138685.86819999994</v>
      </c>
      <c r="H14" s="15">
        <v>254464.77940000014</v>
      </c>
      <c r="J14" s="3"/>
      <c r="L14" s="10" t="s">
        <v>26</v>
      </c>
      <c r="M14" s="11">
        <v>444794.17039999936</v>
      </c>
      <c r="P14" s="3"/>
      <c r="R14" s="10" t="s">
        <v>21</v>
      </c>
      <c r="S14" s="11">
        <v>472133.03319999954</v>
      </c>
      <c r="T14" s="29"/>
      <c r="U14" s="29" t="str">
        <f t="shared" si="0"/>
        <v>Tier 3</v>
      </c>
      <c r="V14" s="15">
        <f>GETPIVOTDATA("Sales",$R$11,"Outlet Location Type","Tier 3")</f>
        <v>472133.03319999954</v>
      </c>
    </row>
    <row r="15" spans="1:22" ht="16.2" thickBot="1" x14ac:dyDescent="0.35">
      <c r="A15" s="2"/>
      <c r="D15" s="3"/>
      <c r="F15" s="10" t="s">
        <v>21</v>
      </c>
      <c r="G15" s="16">
        <v>165326.0368</v>
      </c>
      <c r="H15" s="17">
        <v>306806.99640000012</v>
      </c>
      <c r="J15" s="3"/>
      <c r="L15" s="22" t="s">
        <v>1616</v>
      </c>
      <c r="M15" s="20">
        <v>1201681.4927999987</v>
      </c>
      <c r="P15" s="3"/>
      <c r="R15" s="22" t="s">
        <v>1616</v>
      </c>
      <c r="S15" s="20">
        <v>1201681.4927999985</v>
      </c>
      <c r="T15" s="29"/>
      <c r="U15" s="29"/>
      <c r="V15" s="3"/>
    </row>
    <row r="16" spans="1:22" x14ac:dyDescent="0.3">
      <c r="A16" s="2"/>
      <c r="D16" s="3"/>
      <c r="F16" s="2"/>
      <c r="J16" s="3"/>
      <c r="L16" s="2"/>
      <c r="P16" s="3"/>
      <c r="R16" s="2"/>
      <c r="S16" s="29"/>
      <c r="T16" s="29"/>
      <c r="U16" s="29"/>
      <c r="V16" s="3"/>
    </row>
    <row r="17" spans="1:22" ht="16.2" thickBot="1" x14ac:dyDescent="0.35">
      <c r="A17" s="7"/>
      <c r="B17" s="8"/>
      <c r="C17" s="8"/>
      <c r="D17" s="9"/>
      <c r="F17" s="2"/>
      <c r="J17" s="3"/>
      <c r="L17" s="7"/>
      <c r="M17" s="8"/>
      <c r="N17" s="8"/>
      <c r="O17" s="8"/>
      <c r="P17" s="9"/>
      <c r="R17" s="2"/>
      <c r="S17" s="29"/>
      <c r="T17" s="29"/>
      <c r="U17" s="29"/>
      <c r="V17" s="3"/>
    </row>
    <row r="18" spans="1:22" ht="16.2" thickBot="1" x14ac:dyDescent="0.35">
      <c r="F18" s="7"/>
      <c r="G18" s="8"/>
      <c r="H18" s="8"/>
      <c r="I18" s="8"/>
      <c r="J18" s="9"/>
      <c r="R18" s="2"/>
      <c r="S18" s="29"/>
      <c r="T18" s="29"/>
      <c r="U18" s="29"/>
      <c r="V18" s="3"/>
    </row>
    <row r="19" spans="1:22" ht="16.2" thickBot="1" x14ac:dyDescent="0.35">
      <c r="R19" s="2"/>
      <c r="S19" s="29"/>
      <c r="T19" s="29"/>
      <c r="U19" s="29"/>
      <c r="V19" s="3"/>
    </row>
    <row r="20" spans="1:22" ht="25.2" thickBot="1" x14ac:dyDescent="0.6">
      <c r="A20" s="23" t="s">
        <v>1619</v>
      </c>
      <c r="B20" s="24"/>
      <c r="C20" s="24"/>
      <c r="D20" s="24"/>
      <c r="E20" s="24"/>
      <c r="F20" s="24"/>
      <c r="G20" s="25"/>
      <c r="I20" s="23" t="s">
        <v>1622</v>
      </c>
      <c r="J20" s="27"/>
      <c r="K20" s="27"/>
      <c r="L20" s="27"/>
      <c r="M20" s="27"/>
      <c r="N20" s="27"/>
      <c r="O20" s="28"/>
      <c r="R20" s="2"/>
      <c r="S20" s="29"/>
      <c r="T20" s="29"/>
      <c r="U20" s="29"/>
      <c r="V20" s="3"/>
    </row>
    <row r="21" spans="1:22" ht="16.2" thickBot="1" x14ac:dyDescent="0.35">
      <c r="A21" s="44" t="s">
        <v>1615</v>
      </c>
      <c r="B21" s="21" t="s">
        <v>1610</v>
      </c>
      <c r="G21" s="3"/>
      <c r="I21" s="44" t="s">
        <v>1615</v>
      </c>
      <c r="J21" s="21" t="s">
        <v>1610</v>
      </c>
      <c r="O21" s="3"/>
      <c r="R21" s="2"/>
      <c r="S21" s="29"/>
      <c r="T21" s="29"/>
      <c r="U21" s="29"/>
      <c r="V21" s="3"/>
    </row>
    <row r="22" spans="1:22" ht="16.2" thickBot="1" x14ac:dyDescent="0.35">
      <c r="A22" s="50" t="s">
        <v>153</v>
      </c>
      <c r="B22" s="19">
        <v>9077.869999999999</v>
      </c>
      <c r="G22" s="3"/>
      <c r="I22" s="50">
        <v>2011</v>
      </c>
      <c r="J22" s="19">
        <v>78131.566599999976</v>
      </c>
      <c r="O22" s="3"/>
      <c r="R22" s="7"/>
      <c r="S22" s="8"/>
      <c r="T22" s="8"/>
      <c r="U22" s="8"/>
      <c r="V22" s="9"/>
    </row>
    <row r="23" spans="1:22" x14ac:dyDescent="0.3">
      <c r="A23" s="37" t="s">
        <v>74</v>
      </c>
      <c r="B23" s="11">
        <v>15596.696600000001</v>
      </c>
      <c r="G23" s="3"/>
      <c r="I23" s="37">
        <v>2012</v>
      </c>
      <c r="J23" s="11">
        <v>130476.85979999998</v>
      </c>
      <c r="O23" s="3"/>
    </row>
    <row r="24" spans="1:22" ht="25.2" thickBot="1" x14ac:dyDescent="0.6">
      <c r="A24" s="37" t="s">
        <v>159</v>
      </c>
      <c r="B24" s="11">
        <v>21880.027399999992</v>
      </c>
      <c r="G24" s="3"/>
      <c r="I24" s="37">
        <v>2014</v>
      </c>
      <c r="J24" s="11">
        <v>131809.01560000007</v>
      </c>
      <c r="O24" s="3"/>
      <c r="Q24" s="42" t="s">
        <v>1628</v>
      </c>
      <c r="R24" s="43"/>
      <c r="S24" s="43"/>
      <c r="T24" s="43"/>
      <c r="U24" s="43"/>
      <c r="V24" s="43"/>
    </row>
    <row r="25" spans="1:22" x14ac:dyDescent="0.3">
      <c r="A25" s="37" t="s">
        <v>64</v>
      </c>
      <c r="B25" s="11">
        <v>22451.891599999999</v>
      </c>
      <c r="G25" s="3"/>
      <c r="I25" s="37">
        <v>2015</v>
      </c>
      <c r="J25" s="11">
        <v>130942.78019999999</v>
      </c>
      <c r="O25" s="3"/>
      <c r="Q25" s="30"/>
      <c r="R25" s="41"/>
      <c r="S25" s="41"/>
      <c r="T25" s="41"/>
      <c r="U25" s="41"/>
      <c r="V25" s="1"/>
    </row>
    <row r="26" spans="1:22" ht="16.2" thickBot="1" x14ac:dyDescent="0.35">
      <c r="A26" s="37" t="s">
        <v>61</v>
      </c>
      <c r="B26" s="11">
        <v>29334.680599999996</v>
      </c>
      <c r="G26" s="3"/>
      <c r="I26" s="37">
        <v>2016</v>
      </c>
      <c r="J26" s="11">
        <v>132113.36980000007</v>
      </c>
      <c r="O26" s="3"/>
      <c r="Q26" s="2"/>
      <c r="R26" s="29"/>
      <c r="S26" s="29"/>
      <c r="T26" s="29"/>
      <c r="U26" s="29"/>
      <c r="V26" s="3"/>
    </row>
    <row r="27" spans="1:22" ht="16.2" thickBot="1" x14ac:dyDescent="0.35">
      <c r="A27" s="37" t="s">
        <v>57</v>
      </c>
      <c r="B27" s="11">
        <v>35379.119800000015</v>
      </c>
      <c r="G27" s="3"/>
      <c r="I27" s="37">
        <v>2017</v>
      </c>
      <c r="J27" s="11">
        <v>133103.90699999989</v>
      </c>
      <c r="O27" s="3"/>
      <c r="Q27" s="36" t="s">
        <v>1615</v>
      </c>
      <c r="R27" s="21" t="s">
        <v>1627</v>
      </c>
      <c r="S27" s="29"/>
      <c r="T27" s="29"/>
      <c r="U27" s="29"/>
      <c r="V27" s="3"/>
    </row>
    <row r="28" spans="1:22" x14ac:dyDescent="0.3">
      <c r="A28" s="37" t="s">
        <v>32</v>
      </c>
      <c r="B28" s="11">
        <v>58514.166999999987</v>
      </c>
      <c r="G28" s="3"/>
      <c r="I28" s="37">
        <v>2018</v>
      </c>
      <c r="J28" s="11">
        <v>204522.25700000025</v>
      </c>
      <c r="O28" s="3"/>
      <c r="Q28" s="50" t="s">
        <v>40</v>
      </c>
      <c r="R28" s="38">
        <v>1083</v>
      </c>
      <c r="S28" s="29"/>
      <c r="T28" s="29"/>
      <c r="U28" s="29"/>
      <c r="V28" s="3"/>
    </row>
    <row r="29" spans="1:22" x14ac:dyDescent="0.3">
      <c r="A29" s="37" t="s">
        <v>54</v>
      </c>
      <c r="B29" s="11">
        <v>59449.863799999992</v>
      </c>
      <c r="G29" s="3"/>
      <c r="I29" s="37">
        <v>2020</v>
      </c>
      <c r="J29" s="11">
        <v>129103.96039999987</v>
      </c>
      <c r="O29" s="3"/>
      <c r="Q29" s="37" t="s">
        <v>46</v>
      </c>
      <c r="R29" s="39">
        <v>935</v>
      </c>
      <c r="S29" s="29"/>
      <c r="T29" s="29"/>
      <c r="U29" s="29"/>
      <c r="V29" s="3"/>
    </row>
    <row r="30" spans="1:22" ht="16.2" thickBot="1" x14ac:dyDescent="0.35">
      <c r="A30" s="37" t="s">
        <v>19</v>
      </c>
      <c r="B30" s="11">
        <v>68025.838800000012</v>
      </c>
      <c r="G30" s="3"/>
      <c r="I30" s="10">
        <v>2022</v>
      </c>
      <c r="J30" s="11">
        <v>131477.77639999994</v>
      </c>
      <c r="O30" s="3"/>
      <c r="Q30" s="37" t="s">
        <v>22</v>
      </c>
      <c r="R30" s="39">
        <v>928</v>
      </c>
      <c r="S30" s="29"/>
      <c r="T30" s="29"/>
      <c r="U30" s="29"/>
      <c r="V30" s="3"/>
    </row>
    <row r="31" spans="1:22" ht="16.2" thickBot="1" x14ac:dyDescent="0.35">
      <c r="A31" s="37" t="s">
        <v>95</v>
      </c>
      <c r="B31" s="11">
        <v>81894.736400000009</v>
      </c>
      <c r="G31" s="3"/>
      <c r="I31" s="22" t="s">
        <v>1616</v>
      </c>
      <c r="J31" s="20">
        <v>1201681.4927999999</v>
      </c>
      <c r="O31" s="3"/>
      <c r="Q31" s="37" t="s">
        <v>16</v>
      </c>
      <c r="R31" s="39">
        <v>5577</v>
      </c>
      <c r="S31" s="29"/>
      <c r="T31" s="29"/>
      <c r="U31" s="29"/>
      <c r="V31" s="3"/>
    </row>
    <row r="32" spans="1:22" ht="16.2" thickBot="1" x14ac:dyDescent="0.35">
      <c r="A32" s="37" t="s">
        <v>28</v>
      </c>
      <c r="B32" s="11">
        <v>90706.728999999992</v>
      </c>
      <c r="G32" s="3"/>
      <c r="I32" s="7"/>
      <c r="J32" s="8"/>
      <c r="K32" s="8"/>
      <c r="L32" s="8"/>
      <c r="M32" s="8"/>
      <c r="N32" s="8"/>
      <c r="O32" s="9"/>
      <c r="Q32" s="22" t="s">
        <v>1616</v>
      </c>
      <c r="R32" s="40">
        <v>8523</v>
      </c>
      <c r="S32" s="29"/>
      <c r="T32" s="29"/>
      <c r="U32" s="29"/>
      <c r="V32" s="3"/>
    </row>
    <row r="33" spans="1:22" x14ac:dyDescent="0.3">
      <c r="A33" s="37" t="s">
        <v>67</v>
      </c>
      <c r="B33" s="11">
        <v>101276.46159999995</v>
      </c>
      <c r="G33" s="3"/>
      <c r="Q33" s="2"/>
      <c r="R33" s="29"/>
      <c r="S33" s="29"/>
      <c r="T33" s="29"/>
      <c r="U33" s="29"/>
      <c r="V33" s="3"/>
    </row>
    <row r="34" spans="1:22" ht="16.2" thickBot="1" x14ac:dyDescent="0.35">
      <c r="A34" s="37" t="s">
        <v>24</v>
      </c>
      <c r="B34" s="11">
        <v>118558.88140000009</v>
      </c>
      <c r="G34" s="3"/>
      <c r="Q34" s="7"/>
      <c r="R34" s="8"/>
      <c r="S34" s="8"/>
      <c r="T34" s="8"/>
      <c r="U34" s="8"/>
      <c r="V34" s="9"/>
    </row>
    <row r="35" spans="1:22" x14ac:dyDescent="0.3">
      <c r="A35" s="37" t="s">
        <v>42</v>
      </c>
      <c r="B35" s="11">
        <v>135976.52539999998</v>
      </c>
      <c r="G35" s="3"/>
      <c r="I35" s="30"/>
      <c r="J35" s="41"/>
      <c r="K35" s="41"/>
      <c r="L35" s="41"/>
      <c r="M35" s="41"/>
      <c r="N35" s="41"/>
      <c r="O35" s="41"/>
      <c r="P35" s="41"/>
      <c r="Q35" s="41"/>
      <c r="R35" s="41"/>
      <c r="S35" s="41"/>
      <c r="T35" s="41"/>
      <c r="U35" s="41"/>
      <c r="V35" s="1"/>
    </row>
    <row r="36" spans="1:22" ht="16.2" thickBot="1" x14ac:dyDescent="0.35">
      <c r="A36" s="37" t="s">
        <v>48</v>
      </c>
      <c r="B36" s="11">
        <v>175433.92240000021</v>
      </c>
      <c r="G36" s="3"/>
      <c r="I36" s="2"/>
      <c r="J36" s="29"/>
      <c r="K36" s="29"/>
      <c r="L36" s="29"/>
      <c r="M36" s="29"/>
      <c r="N36" s="29"/>
      <c r="O36" s="29"/>
      <c r="P36" s="29"/>
      <c r="Q36" s="29"/>
      <c r="R36" s="29"/>
      <c r="S36" s="29"/>
      <c r="T36" s="29"/>
      <c r="U36" s="29"/>
      <c r="V36" s="3"/>
    </row>
    <row r="37" spans="1:22" ht="16.2" thickBot="1" x14ac:dyDescent="0.35">
      <c r="A37" s="10" t="s">
        <v>12</v>
      </c>
      <c r="B37" s="11">
        <v>178124.08099999995</v>
      </c>
      <c r="G37" s="3"/>
      <c r="I37" s="44" t="s">
        <v>1615</v>
      </c>
      <c r="J37" s="21" t="s">
        <v>1610</v>
      </c>
      <c r="K37" s="29"/>
      <c r="L37" s="29"/>
      <c r="M37" s="29"/>
      <c r="N37" s="29"/>
      <c r="O37" s="44" t="s">
        <v>1615</v>
      </c>
      <c r="P37" s="21" t="s">
        <v>1626</v>
      </c>
      <c r="Q37" s="29"/>
      <c r="R37" s="29"/>
      <c r="S37" s="29"/>
      <c r="T37" s="29"/>
      <c r="U37" s="29"/>
      <c r="V37" s="3"/>
    </row>
    <row r="38" spans="1:22" ht="16.2" thickBot="1" x14ac:dyDescent="0.35">
      <c r="A38" s="22" t="s">
        <v>1616</v>
      </c>
      <c r="B38" s="20">
        <v>1201681.4927999999</v>
      </c>
      <c r="G38" s="3"/>
      <c r="I38" s="50" t="s">
        <v>40</v>
      </c>
      <c r="J38" s="19">
        <v>151939.149</v>
      </c>
      <c r="K38" s="29"/>
      <c r="L38" s="29"/>
      <c r="M38" s="29"/>
      <c r="N38" s="29"/>
      <c r="O38" s="50" t="s">
        <v>40</v>
      </c>
      <c r="P38" s="32">
        <v>140.29468975069253</v>
      </c>
      <c r="Q38" s="29"/>
      <c r="R38" s="29"/>
      <c r="S38" s="29"/>
      <c r="T38" s="29"/>
      <c r="U38" s="29"/>
      <c r="V38" s="3"/>
    </row>
    <row r="39" spans="1:22" ht="16.2" thickBot="1" x14ac:dyDescent="0.35">
      <c r="A39" s="7"/>
      <c r="B39" s="8"/>
      <c r="C39" s="8"/>
      <c r="D39" s="8"/>
      <c r="E39" s="8"/>
      <c r="F39" s="8"/>
      <c r="G39" s="9"/>
      <c r="I39" s="37" t="s">
        <v>46</v>
      </c>
      <c r="J39" s="11">
        <v>130714.67460000006</v>
      </c>
      <c r="K39" s="29"/>
      <c r="L39" s="29"/>
      <c r="M39" s="29"/>
      <c r="N39" s="29"/>
      <c r="O39" s="37" t="s">
        <v>46</v>
      </c>
      <c r="P39" s="33">
        <v>139.80179101604284</v>
      </c>
      <c r="Q39" s="29"/>
      <c r="R39" s="29"/>
      <c r="S39" s="29"/>
      <c r="T39" s="29"/>
      <c r="U39" s="29"/>
      <c r="V39" s="3"/>
    </row>
    <row r="40" spans="1:22" x14ac:dyDescent="0.3">
      <c r="I40" s="37" t="s">
        <v>22</v>
      </c>
      <c r="J40" s="11">
        <v>131477.77639999994</v>
      </c>
      <c r="K40" s="29"/>
      <c r="L40" s="29"/>
      <c r="M40" s="29"/>
      <c r="N40" s="29"/>
      <c r="O40" s="37" t="s">
        <v>22</v>
      </c>
      <c r="P40" s="33">
        <v>141.67863836206891</v>
      </c>
      <c r="Q40" s="29"/>
      <c r="R40" s="29"/>
      <c r="S40" s="29"/>
      <c r="T40" s="29"/>
      <c r="U40" s="29"/>
      <c r="V40" s="3"/>
    </row>
    <row r="41" spans="1:22" ht="16.2" thickBot="1" x14ac:dyDescent="0.35">
      <c r="I41" s="10" t="s">
        <v>16</v>
      </c>
      <c r="J41" s="11">
        <v>787549.89280000131</v>
      </c>
      <c r="K41" s="29"/>
      <c r="L41" s="29"/>
      <c r="M41" s="29"/>
      <c r="N41" s="29"/>
      <c r="O41" s="10" t="s">
        <v>16</v>
      </c>
      <c r="P41" s="33">
        <v>141.21389506903375</v>
      </c>
      <c r="Q41" s="29"/>
      <c r="R41" s="29"/>
      <c r="S41" s="29"/>
      <c r="T41" s="29"/>
      <c r="U41" s="29"/>
      <c r="V41" s="3"/>
    </row>
    <row r="42" spans="1:22" ht="16.2" thickBot="1" x14ac:dyDescent="0.35">
      <c r="I42" s="22" t="s">
        <v>1616</v>
      </c>
      <c r="J42" s="20">
        <v>1201681.4928000013</v>
      </c>
      <c r="K42" s="29"/>
      <c r="L42" s="29"/>
      <c r="M42" s="29"/>
      <c r="N42" s="29"/>
      <c r="O42" s="22" t="s">
        <v>1616</v>
      </c>
      <c r="P42" s="34">
        <v>140.99278338613175</v>
      </c>
      <c r="Q42" s="29"/>
      <c r="R42" s="29"/>
      <c r="S42" s="29"/>
      <c r="T42" s="29"/>
      <c r="U42" s="29"/>
      <c r="V42" s="3"/>
    </row>
    <row r="43" spans="1:22" x14ac:dyDescent="0.3">
      <c r="I43" s="2"/>
      <c r="J43" s="29"/>
      <c r="K43" s="29"/>
      <c r="L43" s="29"/>
      <c r="M43" s="29"/>
      <c r="N43" s="29"/>
      <c r="O43" s="29"/>
      <c r="P43" s="29"/>
      <c r="Q43" s="29"/>
      <c r="R43" s="29"/>
      <c r="S43" s="29"/>
      <c r="T43" s="29"/>
      <c r="U43" s="29"/>
      <c r="V43" s="3"/>
    </row>
    <row r="44" spans="1:22" x14ac:dyDescent="0.3">
      <c r="I44" s="2"/>
      <c r="J44" s="29"/>
      <c r="K44" s="29"/>
      <c r="L44" s="29"/>
      <c r="M44" s="29"/>
      <c r="N44" s="29"/>
      <c r="O44" s="29"/>
      <c r="P44" s="29"/>
      <c r="Q44" s="29"/>
      <c r="R44" s="29"/>
      <c r="S44" s="29"/>
      <c r="T44" s="29"/>
      <c r="U44" s="29"/>
      <c r="V44" s="3"/>
    </row>
    <row r="45" spans="1:22" ht="16.2" thickBot="1" x14ac:dyDescent="0.35">
      <c r="I45" s="7"/>
      <c r="J45" s="8"/>
      <c r="K45" s="8"/>
      <c r="L45" s="8"/>
      <c r="M45" s="8"/>
      <c r="N45" s="8"/>
      <c r="O45" s="8"/>
      <c r="P45" s="8"/>
      <c r="Q45" s="8"/>
      <c r="R45" s="8"/>
      <c r="S45" s="8"/>
      <c r="T45" s="8"/>
      <c r="U45" s="8"/>
      <c r="V45" s="9"/>
    </row>
    <row r="52" ht="16.2" thickBot="1" x14ac:dyDescent="0.35"/>
  </sheetData>
  <mergeCells count="9">
    <mergeCell ref="Q24:V24"/>
    <mergeCell ref="A2:E2"/>
    <mergeCell ref="A10:D10"/>
    <mergeCell ref="F10:J10"/>
    <mergeCell ref="A20:G20"/>
    <mergeCell ref="I20:O20"/>
    <mergeCell ref="L10:P10"/>
    <mergeCell ref="R10:V10"/>
    <mergeCell ref="A9:V9"/>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33976-F778-40CE-9EDD-7199F503F612}">
  <dimension ref="A1"/>
  <sheetViews>
    <sheetView showGridLines="0" tabSelected="1" zoomScale="70" zoomScaleNormal="70" workbookViewId="0">
      <selection activeCell="AA15" sqref="AA1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Harini K V S</cp:lastModifiedBy>
  <dcterms:created xsi:type="dcterms:W3CDTF">2024-06-23T13:11:17Z</dcterms:created>
  <dcterms:modified xsi:type="dcterms:W3CDTF">2026-03-31T12:44:57Z</dcterms:modified>
</cp:coreProperties>
</file>