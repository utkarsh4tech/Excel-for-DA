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may/"/>
    </mc:Choice>
  </mc:AlternateContent>
  <xr:revisionPtr revIDLastSave="0" documentId="13_ncr:1_{5AAF4440-224E-A949-B9A8-3684F1EA13A7}" xr6:coauthVersionLast="47" xr6:coauthVersionMax="47" xr10:uidLastSave="{00000000-0000-0000-0000-000000000000}"/>
  <bookViews>
    <workbookView xWindow="-40" yWindow="620" windowWidth="28800" windowHeight="17400" xr2:uid="{2326FE9D-7135-A24F-9430-A60B230BFC44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9" i="1" l="1" a="1"/>
  <c r="J99" i="1" s="1"/>
  <c r="E84" i="1" a="1"/>
  <c r="E84" i="1" s="1"/>
  <c r="C82" i="1"/>
  <c r="E34" i="2"/>
  <c r="E32" i="2"/>
  <c r="E26" i="2"/>
  <c r="F22" i="2"/>
  <c r="D21" i="2"/>
  <c r="C57" i="1"/>
  <c r="E52" i="1"/>
  <c r="C55" i="1"/>
  <c r="F12" i="2"/>
  <c r="G12" i="2" s="1"/>
  <c r="F11" i="2"/>
  <c r="G11" i="2" s="1"/>
  <c r="F10" i="2"/>
  <c r="G10" i="2" s="1"/>
  <c r="G9" i="2"/>
  <c r="F9" i="2"/>
  <c r="F8" i="2"/>
  <c r="G8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<sst xmlns="http://schemas.openxmlformats.org/spreadsheetml/2006/main" count="72" uniqueCount="58">
  <si>
    <t>CELL ADDRESS</t>
  </si>
  <si>
    <t>NAMING format for cell?</t>
  </si>
  <si>
    <t>&lt;COLUMN_NAME&gt;&lt;ROW_NUM&gt;</t>
  </si>
  <si>
    <t>RELATIVE</t>
  </si>
  <si>
    <t>ABSOLUTE</t>
  </si>
  <si>
    <t>MIXED</t>
  </si>
  <si>
    <t>a10</t>
  </si>
  <si>
    <t>A10</t>
  </si>
  <si>
    <t>$A$10</t>
  </si>
  <si>
    <t>FIXED</t>
  </si>
  <si>
    <t>with respect to something</t>
  </si>
  <si>
    <t>A$10</t>
  </si>
  <si>
    <t>$A10</t>
  </si>
  <si>
    <t>Either Row or Column is fixed</t>
  </si>
  <si>
    <t>AUTOFILL</t>
  </si>
  <si>
    <t>atleast 2 values are needed</t>
  </si>
  <si>
    <t>Qts</t>
  </si>
  <si>
    <t>Price/Unit</t>
  </si>
  <si>
    <t>Disc</t>
  </si>
  <si>
    <t>Total Amt</t>
  </si>
  <si>
    <t>Grand Total</t>
  </si>
  <si>
    <t>GST(18%)</t>
  </si>
  <si>
    <t>GST_RATES</t>
  </si>
  <si>
    <t>RELATIVE CELL REF</t>
  </si>
  <si>
    <t>Both Row n Col can change</t>
  </si>
  <si>
    <t>A4</t>
  </si>
  <si>
    <t>ABSOLUTE CELL REF</t>
  </si>
  <si>
    <t>HERE NEITHER ROW CAN CHANGE NOR MY COLUMN CAN CHNG</t>
  </si>
  <si>
    <t>$A$4</t>
  </si>
  <si>
    <t>MIXED CELL REF</t>
  </si>
  <si>
    <t>ROW IS FIXED , column can chng</t>
  </si>
  <si>
    <t>A$4</t>
  </si>
  <si>
    <t>COLUMN is fixed but ROW CAN CHNG</t>
  </si>
  <si>
    <t>$A4</t>
  </si>
  <si>
    <t>MIRRORING</t>
  </si>
  <si>
    <t xml:space="preserve">CTRL C </t>
  </si>
  <si>
    <t>CTRL V</t>
  </si>
  <si>
    <t>GST rate from second sheet?</t>
  </si>
  <si>
    <t>B48</t>
  </si>
  <si>
    <t>Formula Bar</t>
  </si>
  <si>
    <t>Formula Menu</t>
  </si>
  <si>
    <t>RANGE</t>
  </si>
  <si>
    <t>Collection of contigous cells</t>
  </si>
  <si>
    <t>TABLE</t>
  </si>
  <si>
    <t>COPY RANGE from another sheet</t>
  </si>
  <si>
    <t>&lt;SHEET_NAME&gt;!&lt;RANGE_AFFRESS&gt;</t>
  </si>
  <si>
    <t>Just like range + cool functionalities</t>
  </si>
  <si>
    <t>How to create Table</t>
  </si>
  <si>
    <t>CMD+T</t>
  </si>
  <si>
    <t>CRTL+T</t>
  </si>
  <si>
    <t>Benefits:</t>
  </si>
  <si>
    <t>Better Readability</t>
  </si>
  <si>
    <t>We get filters</t>
  </si>
  <si>
    <t>Sorting Data</t>
  </si>
  <si>
    <t>Quick Navigation</t>
  </si>
  <si>
    <t>CMD+SHIFT+ARROW KEY</t>
  </si>
  <si>
    <t>CTRL+Shift+Arrow</t>
  </si>
  <si>
    <t>SHIFT to select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</si>
</sst>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9" fontId="0" fillId="0" borderId="0" xfId="0" applyNumberFormat="1"/>
    <xf numFmtId="0" fontId="1" fillId="3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577820</xdr:colOff>
      <xdr:row>64</xdr:row>
      <xdr:rowOff>198626</xdr:rowOff>
    </xdr:from>
    <xdr:to>
      <xdr:col>11</xdr:col>
      <xdr:colOff>104248</xdr:colOff>
      <xdr:row>66</xdr:row>
      <xdr:rowOff>149224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BDF4F7-BFF9-60B7-E04A-D218CB620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2417" y="13295877"/>
          <a:ext cx="7772400" cy="359887"/>
        </a:xfrm>
        <a:prstGeom prst="rect">
          <a:avLst/>
        </a:prstGeom>
      </xdr:spPr>
    </xdr:pic>
    <xdr:clientData/>
  </xdr:twoCellAnchor>
  <xdr:twoCellAnchor editAs="oneCell">
    <xdr:from>
      <xdr:col>3</xdr:col>
      <xdr:colOff>721569</xdr:colOff>
      <xdr:row>63</xdr:row>
      <xdr:rowOff>193753</xdr:rowOff>
    </xdr:from>
    <xdr:to>
      <xdr:col>4</xdr:col>
      <xdr:colOff>531651</xdr:colOff>
      <xdr:row>65</xdr:row>
      <xdr:rowOff>60944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8289AF2D-2374-1D30-180F-693C699209EE}"/>
                </a:ext>
              </a:extLst>
            </xdr14:cNvPr>
            <xdr14:cNvContentPartPr/>
          </xdr14:nvContentPartPr>
          <xdr14:nvPr macro=""/>
          <xdr14:xfrm>
            <a:off x="3195360" y="13086360"/>
            <a:ext cx="634680" cy="27648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289AF2D-2374-1D30-180F-693C699209EE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3186360" y="13077360"/>
              <a:ext cx="652320" cy="29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326</xdr:colOff>
      <xdr:row>64</xdr:row>
      <xdr:rowOff>198989</xdr:rowOff>
    </xdr:from>
    <xdr:to>
      <xdr:col>2</xdr:col>
      <xdr:colOff>316406</xdr:colOff>
      <xdr:row>69</xdr:row>
      <xdr:rowOff>3766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C301E1AD-16D1-BD25-2385-FEAE645D0D51}"/>
                </a:ext>
              </a:extLst>
            </xdr14:cNvPr>
            <xdr14:cNvContentPartPr/>
          </xdr14:nvContentPartPr>
          <xdr14:nvPr macro=""/>
          <xdr14:xfrm>
            <a:off x="1649520" y="13296240"/>
            <a:ext cx="316080" cy="82800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C301E1AD-16D1-BD25-2385-FEAE645D0D51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640880" y="13287600"/>
              <a:ext cx="333720" cy="8456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0T16:28:38.898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24575,'55'0'0,"-7"0"0,7 0 0,19-1 0,7 2 0,17-1 0,3 4 0,-30 0 0,1 2 0,-2 3 0,28 10 0,-3 6 0,-9 2 0,-5 6 0,-14 3 0,-4 4 0,-10-3 0,-5 2 0,-10-4 0,-3 1 0,25 33 0,-17-9 0,-12-8 0,-6-8 0,-8-6 0,-3-7 0,-2-4 0,-2-5 0,-1-4 0,-1-4 0,-3-3 0,-3-3 0,-1 0 0,-1-2 0,0-2 0,-2-1 0,-1-2 0,-3-1 0,-3 0 0,-3 0 0,-2 0 0,-1 0 0,0 0 0,-3-3 0,-6-4 0,-8-5 0,-9-3 0,-1-1 0,5 3 0,11 2 0,11 4 0,8 1 0,5 0 0,2 2 0,3 1 0,3 1 0,1 2 0,2-1 0,0 1 0,0 0 0,1 0 0,0 0 0,1 0 0,-1 0 0,0 0 0,1 0 0,4 1 0,4 2 0,3 2 0,1 1 0,-1 0 0,-3 0 0,-1 0 0,2 1 0,2 1 0,2 2 0,1 0 0,-5-1 0,-4-4 0,-5-1 0,-5-2 0,-1-1 0,-2 0 0,1 0 0,1-2 0,0 0 0,-2-3 0,0-3 0,1-4 0,-1-3 0,2-3 0,-1-2 0,0-1 0,1 0 0,-2 2 0,0 1 0,-1 2 0,0 2 0,-1 2 0,0 2 0,1 2 0,-1 1 0,0 0 0,-1 2 0,-6 2 0,-5 4 0,-8 4 0,-5 2 0,-6 3 0,-3 0 0,-2 0 0,0 0 0,1 0 0,3 0 0,1-1 0,3-1 0,5-4 0,5-1 0,7-2 0,4 0 0,5 0 0,8-1 0,10-2 0,6-3 0,4-2 0,-2-1 0,-4 1 0,-4 1 0,-4 0 0,-2 1 0,-2 1 0,0 0 0,0-1 0,0 0 0,0 0 0,0-1 0,-2 2 0,-2 1 0,-1 1 0,2 1 0,0 0 0,2 0 0,-2 0 0,-2 3 0,-2 0 0,-3 3 0,-4-1 0,-5 2 0,-6 2 0,-4 0 0,-3 2 0,0-2 0,3-2 0,2-2 0,6-3 0,4-1 0,6-1 0,10 0 0,3 1 0,5 0 0,-3 2 0,0 1 0,0 0 0,1-1 0,0-1 0,-3-1 0,-1-1 0,-4 0 0,0 0 0,-1 0 0,-1 0 0,1 0 0,1 0 0,0 0 0,2-1 0,1-1 0,0-2 0,0-2 0,0-2 0,1 0 0,1-2 0,-1 2 0,-2 2 0,-6 5 0,-7 5 0,-6 7 0,-5 5 0,-2 2 0,2 0 0,2-1 0,3-3 0,1-1 0,1-4 0,-2-4 0,-4-3 0,-2-3 0,-3-3 0,0-2 0,2-2 0,2 1 0,2 1 0,2 3 0,2 1 0,0 0 0,3 0 0,2-1 0,3 0 0,3 0 0,2 1 0,6 0 0,7 2 0,5-1 0,2-3 0,3-4 0,-1-3 0,-1-2 0,-3 2 0,-5 1 0,-4 2 0,-4 3 0,-2 0 0,-4 3 0,-7 1 0,3 0 0,-3 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10T16:32:06.645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472 77 24575,'-8'-2'0,"-10"-1"0,-9 0 0,-8-1 0,-2 0 0,5 1 0,6 2 0,5 0 0,2 1 0,2 0 0,1 1 0,0 3 0,1 4 0,1 5 0,-1 3 0,2 0 0,0 2 0,1 0 0,1 2 0,-1 5 0,0 7 0,-3 8 0,-1 7 0,1 5 0,2 1 0,2-4 0,4-7 0,3-8 0,3-7 0,1-2 0,1-2 0,8 1 0,13 4 0,22 4 0,19 2 0,14 1 0,4-3 0,-7-8 0,-13-8 0,-10-8 0,-8-6 0,3-10 0,6-12 0,5-14 0,0-17 0,-5-8 0,-11-7 0,-15 1 0,-12 4 0,-9 3 0,-11 1 0,-14-2 0,-12-1 0,-12 2 0,-5 7 0,1 9 0,3 10 0,5 8 0,6 7 0,4 5 0,3 4 0,4 2 0,4 2 0,5 3-1696,4 2 0,5-1 0,2 1 0</inkml:trace>
  <inkml:trace contextRef="#ctx0" brushRef="#br0" timeOffset="1949">439 757 24575,'0'15'0,"0"21"0,0 36 0,0-18 0,0 5 0,0 12 0,0 3 0,0 6 0,0 1 0,0-3 0,0-2 0,0-5 0,0-3 0,0-7 0,1-2 0,0 41 0,2-14 0,1-16 0,-2-14 0,1-12 0,-2-10 0,1-7 0,-1-7 0,-1-5 0,0-6 0,-2-5 0,-5-5 0,-11-9 0,-13-4 0,-13-6 0,-10-3 0,0 0 0,8 2 0,16 6 0,15 7 0,14 5 0,10 6 0,5 4 0,5 3 0,4 5 0,10 9 0,8 10 0,4 7 0,0 0 0,-8-8 0,-10-9 0,-9-9 0,-7-7 0,-3-4 0,-3-2 0,-1-2 0,1 0 0,1-2 0,4-4 0,7-8 0,12-9 0,8-8 0,4-3 0,-2 1 0,-7 2 0,-7 4 0,-6 3 0,-6 7 0,-4 4 0,-3 4 0,-4 2 0,-2 3 0,-2 1 0,-3 2 0,2 1 0,-1 1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298951-92CF-724B-B487-2610D093FFF5}" name="sales_data" displayName="sales_data" ref="C99:G104" totalsRowShown="0">
  <autoFilter ref="C99:G104" xr:uid="{AC298951-92CF-724B-B487-2610D093FFF5}"/>
  <sortState xmlns:xlrd2="http://schemas.microsoft.com/office/spreadsheetml/2017/richdata2" ref="C100:G104">
    <sortCondition ref="C99:C104"/>
  </sortState>
  <tableColumns count="5">
    <tableColumn id="1" xr3:uid="{5FB28421-75A1-014C-955F-3B4321B959F7}" name="Qts"/>
    <tableColumn id="2" xr3:uid="{44F2F94B-27D7-5A4B-B5F6-22F86F455EAA}" name="Price/Unit"/>
    <tableColumn id="3" xr3:uid="{B126D0E8-F5DF-CA4D-94D3-139506FD622A}" name="Disc"/>
    <tableColumn id="4" xr3:uid="{6DE815C2-2DEC-E04B-8D88-E1CD64F3851B}" name="Total Amt"/>
    <tableColumn id="5" xr3:uid="{BC21F77D-7066-E641-ADF0-CD5E316BD050}" name="GST(18%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F9DC8-CAD4-7F42-ABBF-4596F9B954DC}">
  <dimension ref="A4:N126"/>
  <sheetViews>
    <sheetView tabSelected="1" topLeftCell="A115" zoomScale="211" workbookViewId="0">
      <selection activeCell="B120" sqref="B120"/>
    </sheetView>
  </sheetViews>
  <sheetFormatPr baseColWidth="10" defaultRowHeight="16" x14ac:dyDescent="0.2"/>
  <sheetData>
    <row r="4" spans="2:7" x14ac:dyDescent="0.2">
      <c r="B4" t="s">
        <v>0</v>
      </c>
    </row>
    <row r="6" spans="2:7" x14ac:dyDescent="0.2">
      <c r="C6" t="s">
        <v>1</v>
      </c>
    </row>
    <row r="8" spans="2:7" x14ac:dyDescent="0.2">
      <c r="D8" t="s">
        <v>2</v>
      </c>
    </row>
    <row r="10" spans="2:7" x14ac:dyDescent="0.2">
      <c r="D10" t="s">
        <v>6</v>
      </c>
    </row>
    <row r="11" spans="2:7" x14ac:dyDescent="0.2">
      <c r="C11" t="s">
        <v>4</v>
      </c>
      <c r="E11" t="s">
        <v>8</v>
      </c>
      <c r="G11" t="s">
        <v>9</v>
      </c>
    </row>
    <row r="13" spans="2:7" x14ac:dyDescent="0.2">
      <c r="C13" t="s">
        <v>3</v>
      </c>
      <c r="E13" t="s">
        <v>7</v>
      </c>
      <c r="G13" t="s">
        <v>10</v>
      </c>
    </row>
    <row r="15" spans="2:7" x14ac:dyDescent="0.2">
      <c r="C15" t="s">
        <v>5</v>
      </c>
      <c r="E15" t="s">
        <v>11</v>
      </c>
      <c r="G15" t="s">
        <v>13</v>
      </c>
    </row>
    <row r="16" spans="2:7" x14ac:dyDescent="0.2">
      <c r="E16" t="s">
        <v>12</v>
      </c>
    </row>
    <row r="19" spans="1:12" x14ac:dyDescent="0.2">
      <c r="A19" s="1"/>
      <c r="B19" s="1"/>
      <c r="C19" s="1"/>
      <c r="D19" s="1"/>
      <c r="E19" s="1"/>
      <c r="F19" s="1"/>
      <c r="G19" s="1"/>
    </row>
    <row r="21" spans="1:12" x14ac:dyDescent="0.2">
      <c r="B21" t="s">
        <v>14</v>
      </c>
      <c r="D21" t="s">
        <v>15</v>
      </c>
    </row>
    <row r="23" spans="1:12" x14ac:dyDescent="0.2">
      <c r="B23">
        <v>2</v>
      </c>
      <c r="D23">
        <v>5</v>
      </c>
      <c r="F23">
        <v>0</v>
      </c>
    </row>
    <row r="24" spans="1:12" x14ac:dyDescent="0.2">
      <c r="B24">
        <v>4</v>
      </c>
      <c r="D24">
        <v>10</v>
      </c>
      <c r="F24">
        <v>-10</v>
      </c>
    </row>
    <row r="25" spans="1:12" x14ac:dyDescent="0.2">
      <c r="B25">
        <v>6</v>
      </c>
      <c r="D25">
        <v>15</v>
      </c>
      <c r="F25">
        <v>-20</v>
      </c>
      <c r="H25">
        <v>2</v>
      </c>
      <c r="I25">
        <v>4</v>
      </c>
      <c r="J25">
        <v>6</v>
      </c>
      <c r="K25">
        <v>8</v>
      </c>
      <c r="L25">
        <v>10</v>
      </c>
    </row>
    <row r="26" spans="1:12" x14ac:dyDescent="0.2">
      <c r="B26">
        <v>8</v>
      </c>
      <c r="D26">
        <v>20</v>
      </c>
      <c r="F26">
        <v>-30</v>
      </c>
    </row>
    <row r="27" spans="1:12" x14ac:dyDescent="0.2">
      <c r="B27">
        <v>10</v>
      </c>
      <c r="D27">
        <v>25</v>
      </c>
      <c r="F27">
        <v>-40</v>
      </c>
    </row>
    <row r="28" spans="1:12" x14ac:dyDescent="0.2">
      <c r="B28">
        <v>12</v>
      </c>
      <c r="D28">
        <v>30</v>
      </c>
      <c r="F28">
        <v>-50</v>
      </c>
    </row>
    <row r="29" spans="1:12" x14ac:dyDescent="0.2">
      <c r="B29">
        <v>14</v>
      </c>
      <c r="D29">
        <v>35</v>
      </c>
      <c r="F29">
        <v>-60</v>
      </c>
    </row>
    <row r="30" spans="1:12" x14ac:dyDescent="0.2">
      <c r="B30">
        <v>16</v>
      </c>
      <c r="D30">
        <v>40</v>
      </c>
      <c r="F30">
        <v>-70</v>
      </c>
    </row>
    <row r="35" spans="1:11" x14ac:dyDescent="0.2">
      <c r="A35" s="1"/>
      <c r="B35" s="1"/>
      <c r="C35" s="1"/>
      <c r="D35" s="1"/>
      <c r="E35" s="1"/>
      <c r="F35" s="1"/>
      <c r="G35" s="1"/>
    </row>
    <row r="37" spans="1:11" x14ac:dyDescent="0.2">
      <c r="B37" s="3" t="s">
        <v>23</v>
      </c>
      <c r="C37" s="3"/>
      <c r="D37" s="4"/>
      <c r="E37" s="4" t="s">
        <v>24</v>
      </c>
      <c r="F37" s="4"/>
      <c r="G37" s="4"/>
      <c r="H37" s="4"/>
      <c r="I37" s="4"/>
      <c r="J37" s="4"/>
      <c r="K37" s="4" t="s">
        <v>25</v>
      </c>
    </row>
    <row r="38" spans="1:11" x14ac:dyDescent="0.2">
      <c r="B38" s="3" t="s">
        <v>26</v>
      </c>
      <c r="C38" s="3"/>
      <c r="D38" s="4"/>
      <c r="E38" s="4" t="s">
        <v>27</v>
      </c>
      <c r="F38" s="4"/>
      <c r="G38" s="4"/>
      <c r="H38" s="4"/>
      <c r="I38" s="4"/>
      <c r="J38" s="4"/>
      <c r="K38" s="4" t="s">
        <v>28</v>
      </c>
    </row>
    <row r="39" spans="1:11" x14ac:dyDescent="0.2">
      <c r="B39" s="3"/>
      <c r="C39" s="3"/>
      <c r="D39" s="4"/>
      <c r="E39" s="4"/>
      <c r="F39" s="4"/>
      <c r="G39" s="4"/>
      <c r="H39" s="4"/>
      <c r="I39" s="4"/>
      <c r="J39" s="4"/>
      <c r="K39" s="4"/>
    </row>
    <row r="40" spans="1:11" x14ac:dyDescent="0.2">
      <c r="B40" s="3" t="s">
        <v>29</v>
      </c>
      <c r="C40" s="3"/>
      <c r="D40" s="4"/>
      <c r="E40" s="4" t="s">
        <v>30</v>
      </c>
      <c r="F40" s="4"/>
      <c r="G40" s="4"/>
      <c r="H40" s="4"/>
      <c r="I40" s="4"/>
      <c r="J40" s="4"/>
      <c r="K40" s="4" t="s">
        <v>31</v>
      </c>
    </row>
    <row r="41" spans="1:11" x14ac:dyDescent="0.2">
      <c r="B41" s="3" t="s">
        <v>29</v>
      </c>
      <c r="C41" s="3"/>
      <c r="D41" s="4"/>
      <c r="E41" s="4" t="s">
        <v>32</v>
      </c>
      <c r="F41" s="4"/>
      <c r="G41" s="4"/>
      <c r="H41" s="4"/>
      <c r="I41" s="4"/>
      <c r="J41" s="4"/>
      <c r="K41" s="4" t="s">
        <v>33</v>
      </c>
    </row>
    <row r="42" spans="1:11" x14ac:dyDescent="0.2">
      <c r="B42" s="4"/>
      <c r="C42" s="4"/>
      <c r="D42" s="4"/>
      <c r="E42" s="4"/>
      <c r="F42" s="4"/>
      <c r="G42" s="4"/>
      <c r="H42" s="4"/>
      <c r="I42" s="4"/>
      <c r="J42" s="4"/>
      <c r="K42" s="4"/>
    </row>
    <row r="45" spans="1:1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</row>
    <row r="48" spans="1:11" x14ac:dyDescent="0.2">
      <c r="B48" t="s">
        <v>34</v>
      </c>
    </row>
    <row r="49" spans="1:10" x14ac:dyDescent="0.2">
      <c r="E49">
        <v>43</v>
      </c>
    </row>
    <row r="51" spans="1:10" x14ac:dyDescent="0.2">
      <c r="C51" t="s">
        <v>35</v>
      </c>
    </row>
    <row r="52" spans="1:10" x14ac:dyDescent="0.2">
      <c r="C52" t="s">
        <v>36</v>
      </c>
      <c r="E52">
        <f>E49</f>
        <v>43</v>
      </c>
    </row>
    <row r="55" spans="1:10" x14ac:dyDescent="0.2">
      <c r="C55" t="str">
        <f>"=&lt;CELL ADDRESS&gt;"</f>
        <v>=&lt;CELL ADDRESS&gt;</v>
      </c>
    </row>
    <row r="57" spans="1:10" x14ac:dyDescent="0.2">
      <c r="C57" t="str">
        <f>"=&lt;SHEET_NAME&gt;!&lt;COL_NAME&gt;&lt;ROW_Num&gt;"</f>
        <v>=&lt;SHEET_NAME&gt;!&lt;COL_NAME&gt;&lt;ROW_Num&gt;</v>
      </c>
    </row>
    <row r="60" spans="1:10" x14ac:dyDescent="0.2">
      <c r="A60" s="1"/>
      <c r="B60" s="1"/>
      <c r="C60" s="1"/>
      <c r="D60" s="1"/>
      <c r="E60" s="1"/>
      <c r="F60" s="1"/>
      <c r="G60" s="1"/>
      <c r="H60" s="1"/>
      <c r="I60" s="1"/>
      <c r="J60" s="1"/>
    </row>
    <row r="63" spans="1:10" x14ac:dyDescent="0.2">
      <c r="C63" t="s">
        <v>39</v>
      </c>
    </row>
    <row r="71" spans="1:10" x14ac:dyDescent="0.2">
      <c r="C71" t="s">
        <v>40</v>
      </c>
    </row>
    <row r="75" spans="1:10" x14ac:dyDescent="0.2">
      <c r="A75" s="1"/>
      <c r="B75" s="1"/>
      <c r="C75" s="1"/>
      <c r="D75" s="1"/>
      <c r="E75" s="1"/>
      <c r="F75" s="1"/>
      <c r="G75" s="1"/>
      <c r="H75" s="1"/>
      <c r="I75" s="1"/>
      <c r="J75" s="1"/>
    </row>
    <row r="77" spans="1:10" x14ac:dyDescent="0.2">
      <c r="B77" t="s">
        <v>41</v>
      </c>
    </row>
    <row r="79" spans="1:10" x14ac:dyDescent="0.2">
      <c r="C79" t="s">
        <v>42</v>
      </c>
    </row>
    <row r="82" spans="1:14" x14ac:dyDescent="0.2">
      <c r="C82" t="str">
        <f>"=&lt;TOP LEFT CELL ADDRESS&gt;:&lt;BOTTOM RIGHT CELL ADDRESS&gt;"</f>
        <v>=&lt;TOP LEFT CELL ADDRESS&gt;:&lt;BOTTOM RIGHT CELL ADDRESS&gt;</v>
      </c>
      <c r="I82" s="4"/>
      <c r="J82" s="4"/>
      <c r="K82" s="4"/>
      <c r="L82" s="4"/>
      <c r="M82" s="4"/>
      <c r="N82" s="4"/>
    </row>
    <row r="83" spans="1:14" x14ac:dyDescent="0.2">
      <c r="I83" s="4" t="s">
        <v>44</v>
      </c>
      <c r="J83" s="4"/>
      <c r="K83" s="4"/>
      <c r="L83" s="4" t="s">
        <v>45</v>
      </c>
      <c r="M83" s="4"/>
      <c r="N83" s="4"/>
    </row>
    <row r="84" spans="1:14" x14ac:dyDescent="0.2">
      <c r="B84" t="s">
        <v>16</v>
      </c>
      <c r="C84" t="s">
        <v>17</v>
      </c>
      <c r="E84" t="str" cm="1">
        <f t="array" ref="E84:H89">Sheet2!C7:F12</f>
        <v>Qts</v>
      </c>
      <c r="F84" t="str">
        <v>Price/Unit</v>
      </c>
      <c r="G84" t="str">
        <v>Disc</v>
      </c>
      <c r="H84" t="str">
        <v>Total Amt</v>
      </c>
    </row>
    <row r="85" spans="1:14" x14ac:dyDescent="0.2">
      <c r="B85">
        <v>4</v>
      </c>
      <c r="C85">
        <v>100</v>
      </c>
      <c r="E85">
        <v>4</v>
      </c>
      <c r="F85">
        <v>100</v>
      </c>
      <c r="G85">
        <v>0</v>
      </c>
      <c r="H85">
        <v>400</v>
      </c>
    </row>
    <row r="86" spans="1:14" x14ac:dyDescent="0.2">
      <c r="B86">
        <v>5</v>
      </c>
      <c r="C86">
        <v>320</v>
      </c>
      <c r="E86">
        <v>5</v>
      </c>
      <c r="F86">
        <v>320</v>
      </c>
      <c r="G86">
        <v>0</v>
      </c>
      <c r="H86">
        <v>1600</v>
      </c>
    </row>
    <row r="87" spans="1:14" x14ac:dyDescent="0.2">
      <c r="B87">
        <v>8</v>
      </c>
      <c r="C87">
        <v>20</v>
      </c>
      <c r="E87">
        <v>8</v>
      </c>
      <c r="F87">
        <v>20</v>
      </c>
      <c r="G87">
        <v>0</v>
      </c>
      <c r="H87">
        <v>160</v>
      </c>
    </row>
    <row r="88" spans="1:14" x14ac:dyDescent="0.2">
      <c r="B88">
        <v>10</v>
      </c>
      <c r="C88">
        <v>450</v>
      </c>
      <c r="E88">
        <v>10</v>
      </c>
      <c r="F88">
        <v>450</v>
      </c>
      <c r="G88">
        <v>0</v>
      </c>
      <c r="H88">
        <v>4500</v>
      </c>
    </row>
    <row r="89" spans="1:14" x14ac:dyDescent="0.2">
      <c r="B89">
        <v>2</v>
      </c>
      <c r="C89">
        <v>30</v>
      </c>
      <c r="E89">
        <v>2</v>
      </c>
      <c r="F89">
        <v>30</v>
      </c>
      <c r="G89">
        <v>0</v>
      </c>
      <c r="H89">
        <v>60</v>
      </c>
    </row>
    <row r="92" spans="1:14" x14ac:dyDescent="0.2">
      <c r="A92" s="1"/>
      <c r="B92" s="1"/>
      <c r="C92" s="1"/>
      <c r="D92" s="1"/>
      <c r="E92" s="1"/>
      <c r="F92" s="1"/>
      <c r="G92" s="1"/>
      <c r="H92" s="1"/>
      <c r="I92" s="1"/>
    </row>
    <row r="95" spans="1:14" x14ac:dyDescent="0.2">
      <c r="B95" t="s">
        <v>43</v>
      </c>
    </row>
    <row r="97" spans="2:10" x14ac:dyDescent="0.2">
      <c r="C97" t="s">
        <v>46</v>
      </c>
    </row>
    <row r="99" spans="2:10" x14ac:dyDescent="0.2">
      <c r="C99" t="s">
        <v>16</v>
      </c>
      <c r="D99" t="s">
        <v>17</v>
      </c>
      <c r="E99" t="s">
        <v>18</v>
      </c>
      <c r="F99" t="s">
        <v>19</v>
      </c>
      <c r="G99" t="s">
        <v>21</v>
      </c>
      <c r="J99" cm="1">
        <f t="array" ref="J99:J103">sales_data[Price/Unit]</f>
        <v>30</v>
      </c>
    </row>
    <row r="100" spans="2:10" x14ac:dyDescent="0.2">
      <c r="C100">
        <v>2</v>
      </c>
      <c r="D100">
        <v>30</v>
      </c>
      <c r="E100">
        <v>0</v>
      </c>
      <c r="F100">
        <v>60</v>
      </c>
      <c r="G100">
        <v>10.799999999999999</v>
      </c>
      <c r="J100">
        <v>100</v>
      </c>
    </row>
    <row r="101" spans="2:10" x14ac:dyDescent="0.2">
      <c r="C101">
        <v>4</v>
      </c>
      <c r="D101">
        <v>100</v>
      </c>
      <c r="E101">
        <v>0</v>
      </c>
      <c r="F101">
        <v>400</v>
      </c>
      <c r="G101">
        <v>72</v>
      </c>
      <c r="J101">
        <v>320</v>
      </c>
    </row>
    <row r="102" spans="2:10" x14ac:dyDescent="0.2">
      <c r="C102">
        <v>5</v>
      </c>
      <c r="D102">
        <v>320</v>
      </c>
      <c r="E102">
        <v>0</v>
      </c>
      <c r="F102">
        <v>1600</v>
      </c>
      <c r="G102">
        <v>288</v>
      </c>
      <c r="J102">
        <v>20</v>
      </c>
    </row>
    <row r="103" spans="2:10" x14ac:dyDescent="0.2">
      <c r="C103">
        <v>8</v>
      </c>
      <c r="D103">
        <v>20</v>
      </c>
      <c r="E103">
        <v>0</v>
      </c>
      <c r="F103">
        <v>160</v>
      </c>
      <c r="G103">
        <v>28.8</v>
      </c>
      <c r="J103">
        <v>450</v>
      </c>
    </row>
    <row r="104" spans="2:10" x14ac:dyDescent="0.2">
      <c r="C104">
        <v>10</v>
      </c>
      <c r="D104">
        <v>450</v>
      </c>
      <c r="E104">
        <v>0</v>
      </c>
      <c r="F104">
        <v>4500</v>
      </c>
      <c r="G104">
        <v>810</v>
      </c>
    </row>
    <row r="107" spans="2:10" x14ac:dyDescent="0.2">
      <c r="B107" t="s">
        <v>47</v>
      </c>
      <c r="D107" t="s">
        <v>48</v>
      </c>
      <c r="E107" t="s">
        <v>49</v>
      </c>
    </row>
    <row r="109" spans="2:10" x14ac:dyDescent="0.2">
      <c r="B109" t="s">
        <v>50</v>
      </c>
    </row>
    <row r="111" spans="2:10" x14ac:dyDescent="0.2">
      <c r="C111" t="s">
        <v>51</v>
      </c>
    </row>
    <row r="112" spans="2:10" x14ac:dyDescent="0.2">
      <c r="D112" s="2"/>
    </row>
    <row r="113" spans="1:8" x14ac:dyDescent="0.2">
      <c r="C113" t="s">
        <v>52</v>
      </c>
      <c r="D113" s="2"/>
    </row>
    <row r="114" spans="1:8" x14ac:dyDescent="0.2">
      <c r="D114" s="2"/>
    </row>
    <row r="115" spans="1:8" x14ac:dyDescent="0.2">
      <c r="C115" t="s">
        <v>53</v>
      </c>
      <c r="D115" s="2"/>
    </row>
    <row r="116" spans="1:8" x14ac:dyDescent="0.2">
      <c r="D116" s="2"/>
    </row>
    <row r="119" spans="1:8" x14ac:dyDescent="0.2">
      <c r="A119" s="1"/>
      <c r="B119" s="1"/>
      <c r="C119" s="1"/>
      <c r="D119" s="1"/>
      <c r="E119" s="1"/>
      <c r="F119" s="1"/>
      <c r="G119" s="1"/>
      <c r="H119" s="1"/>
    </row>
    <row r="122" spans="1:8" x14ac:dyDescent="0.2">
      <c r="B122" t="s">
        <v>54</v>
      </c>
      <c r="E122" t="s">
        <v>57</v>
      </c>
    </row>
    <row r="124" spans="1:8" x14ac:dyDescent="0.2">
      <c r="B124" t="s">
        <v>55</v>
      </c>
    </row>
    <row r="126" spans="1:8" x14ac:dyDescent="0.2">
      <c r="B126" t="s">
        <v>56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42D37-16FD-EE4F-A3C2-FCFFB7700E5B}">
  <dimension ref="A7:K69"/>
  <sheetViews>
    <sheetView topLeftCell="A45" zoomScale="200" workbookViewId="0">
      <selection activeCell="E49" sqref="E49"/>
    </sheetView>
  </sheetViews>
  <sheetFormatPr baseColWidth="10" defaultRowHeight="16" x14ac:dyDescent="0.2"/>
  <sheetData>
    <row r="7" spans="3:9" x14ac:dyDescent="0.2">
      <c r="C7" t="s">
        <v>16</v>
      </c>
      <c r="D7" t="s">
        <v>17</v>
      </c>
      <c r="E7" t="s">
        <v>18</v>
      </c>
      <c r="F7" t="s">
        <v>19</v>
      </c>
      <c r="G7" t="s">
        <v>21</v>
      </c>
    </row>
    <row r="8" spans="3:9" x14ac:dyDescent="0.2">
      <c r="C8">
        <v>4</v>
      </c>
      <c r="D8">
        <v>100</v>
      </c>
      <c r="E8" s="2">
        <v>0</v>
      </c>
      <c r="F8">
        <f>C8*D8</f>
        <v>400</v>
      </c>
      <c r="G8">
        <f>F8*$I$9</f>
        <v>72</v>
      </c>
      <c r="I8" t="s">
        <v>22</v>
      </c>
    </row>
    <row r="9" spans="3:9" x14ac:dyDescent="0.2">
      <c r="C9">
        <v>5</v>
      </c>
      <c r="D9">
        <v>320</v>
      </c>
      <c r="E9" s="2">
        <v>0</v>
      </c>
      <c r="F9">
        <f>C9*D9</f>
        <v>1600</v>
      </c>
      <c r="G9">
        <f>F9*$I$9</f>
        <v>288</v>
      </c>
      <c r="H9" s="2"/>
      <c r="I9" s="2">
        <v>0.18</v>
      </c>
    </row>
    <row r="10" spans="3:9" x14ac:dyDescent="0.2">
      <c r="C10">
        <v>8</v>
      </c>
      <c r="D10">
        <v>20</v>
      </c>
      <c r="E10" s="2">
        <v>0</v>
      </c>
      <c r="F10">
        <f>C10*D10</f>
        <v>160</v>
      </c>
      <c r="G10">
        <f>F10*$I$9</f>
        <v>28.799999999999997</v>
      </c>
    </row>
    <row r="11" spans="3:9" x14ac:dyDescent="0.2">
      <c r="C11">
        <v>10</v>
      </c>
      <c r="D11">
        <v>450</v>
      </c>
      <c r="E11" s="2">
        <v>0</v>
      </c>
      <c r="F11">
        <f>C11*D11</f>
        <v>4500</v>
      </c>
      <c r="G11">
        <f>F11*$I$9</f>
        <v>810</v>
      </c>
    </row>
    <row r="12" spans="3:9" x14ac:dyDescent="0.2">
      <c r="C12">
        <v>2</v>
      </c>
      <c r="D12">
        <v>30</v>
      </c>
      <c r="E12" s="2">
        <v>0</v>
      </c>
      <c r="F12">
        <f>C12*D12</f>
        <v>60</v>
      </c>
      <c r="G12">
        <f>F12*$I$9</f>
        <v>10.799999999999999</v>
      </c>
    </row>
    <row r="15" spans="3:9" x14ac:dyDescent="0.2">
      <c r="E15" t="s">
        <v>20</v>
      </c>
    </row>
    <row r="17" spans="1:1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9" spans="1:11" x14ac:dyDescent="0.2">
      <c r="D19" t="s">
        <v>38</v>
      </c>
    </row>
    <row r="21" spans="1:11" x14ac:dyDescent="0.2">
      <c r="D21" t="str">
        <f>AGENDA!B48</f>
        <v>MIRRORING</v>
      </c>
    </row>
    <row r="22" spans="1:11" x14ac:dyDescent="0.2">
      <c r="F22" t="str">
        <f>D19</f>
        <v>B48</v>
      </c>
    </row>
    <row r="26" spans="1:11" x14ac:dyDescent="0.2">
      <c r="E26" t="str">
        <f>"=E49"</f>
        <v>=E49</v>
      </c>
    </row>
    <row r="31" spans="1:11" x14ac:dyDescent="0.2">
      <c r="E31" t="s">
        <v>37</v>
      </c>
    </row>
    <row r="32" spans="1:11" x14ac:dyDescent="0.2">
      <c r="E32" s="2">
        <f>Sheet2!I9</f>
        <v>0.18</v>
      </c>
    </row>
    <row r="34" spans="1:10" x14ac:dyDescent="0.2">
      <c r="E34" t="str">
        <f ca="1">_xlfn.FORMULATEXT(E32)</f>
        <v>=Sheet2!I9</v>
      </c>
    </row>
    <row r="37" spans="1:10" x14ac:dyDescent="0.2">
      <c r="A37" s="1"/>
      <c r="B37" s="1"/>
      <c r="C37" s="1"/>
      <c r="D37" s="1"/>
      <c r="E37" s="1"/>
      <c r="F37" s="1"/>
      <c r="G37" s="1"/>
      <c r="H37" s="1"/>
      <c r="I37" s="1"/>
      <c r="J37" s="1"/>
    </row>
    <row r="41" spans="1:10" x14ac:dyDescent="0.2">
      <c r="C41" t="s">
        <v>43</v>
      </c>
    </row>
    <row r="45" spans="1:10" x14ac:dyDescent="0.2">
      <c r="A45" s="1"/>
      <c r="B45" s="1"/>
      <c r="C45" s="1"/>
      <c r="D45" s="1"/>
      <c r="E45" s="1"/>
      <c r="F45" s="1"/>
      <c r="G45" s="1"/>
      <c r="H45" s="1"/>
      <c r="I45" s="1"/>
    </row>
    <row r="47" spans="1:10" x14ac:dyDescent="0.2">
      <c r="E47" s="2"/>
    </row>
    <row r="48" spans="1:10" x14ac:dyDescent="0.2">
      <c r="E48" s="2"/>
    </row>
    <row r="49" spans="3:7" x14ac:dyDescent="0.2">
      <c r="C49" t="s">
        <v>16</v>
      </c>
      <c r="D49" t="s">
        <v>17</v>
      </c>
      <c r="E49" s="2" t="s">
        <v>18</v>
      </c>
      <c r="F49" t="s">
        <v>19</v>
      </c>
      <c r="G49" t="s">
        <v>21</v>
      </c>
    </row>
    <row r="50" spans="3:7" x14ac:dyDescent="0.2">
      <c r="C50">
        <v>4</v>
      </c>
      <c r="D50">
        <v>100</v>
      </c>
      <c r="E50" s="2">
        <v>0</v>
      </c>
      <c r="F50">
        <v>400</v>
      </c>
      <c r="G50">
        <v>72</v>
      </c>
    </row>
    <row r="51" spans="3:7" x14ac:dyDescent="0.2">
      <c r="C51">
        <v>5</v>
      </c>
      <c r="D51">
        <v>320</v>
      </c>
      <c r="E51" s="2">
        <v>0</v>
      </c>
      <c r="F51">
        <v>1600</v>
      </c>
      <c r="G51">
        <v>288</v>
      </c>
    </row>
    <row r="52" spans="3:7" x14ac:dyDescent="0.2">
      <c r="C52">
        <v>8</v>
      </c>
      <c r="D52">
        <v>20</v>
      </c>
      <c r="E52">
        <v>0</v>
      </c>
      <c r="F52">
        <v>160</v>
      </c>
      <c r="G52">
        <v>28.799999999999997</v>
      </c>
    </row>
    <row r="53" spans="3:7" x14ac:dyDescent="0.2">
      <c r="C53">
        <v>10</v>
      </c>
      <c r="D53">
        <v>450</v>
      </c>
      <c r="E53">
        <v>0</v>
      </c>
      <c r="F53">
        <v>4500</v>
      </c>
      <c r="G53">
        <v>810</v>
      </c>
    </row>
    <row r="54" spans="3:7" x14ac:dyDescent="0.2">
      <c r="C54">
        <v>2</v>
      </c>
      <c r="D54">
        <v>30</v>
      </c>
      <c r="E54">
        <v>0</v>
      </c>
      <c r="F54">
        <v>60</v>
      </c>
      <c r="G54">
        <v>10.799999999999999</v>
      </c>
    </row>
    <row r="55" spans="3:7" x14ac:dyDescent="0.2">
      <c r="C55">
        <v>4</v>
      </c>
      <c r="D55">
        <v>100</v>
      </c>
      <c r="E55" s="2">
        <v>0</v>
      </c>
      <c r="F55">
        <v>400</v>
      </c>
      <c r="G55">
        <v>72</v>
      </c>
    </row>
    <row r="56" spans="3:7" x14ac:dyDescent="0.2">
      <c r="C56">
        <v>5</v>
      </c>
      <c r="D56">
        <v>320</v>
      </c>
      <c r="E56" s="2">
        <v>0</v>
      </c>
      <c r="F56">
        <v>1600</v>
      </c>
      <c r="G56">
        <v>288</v>
      </c>
    </row>
    <row r="57" spans="3:7" x14ac:dyDescent="0.2">
      <c r="C57">
        <v>8</v>
      </c>
      <c r="D57">
        <v>20</v>
      </c>
      <c r="E57">
        <v>0</v>
      </c>
      <c r="F57">
        <v>160</v>
      </c>
      <c r="G57">
        <v>28.799999999999997</v>
      </c>
    </row>
    <row r="58" spans="3:7" x14ac:dyDescent="0.2">
      <c r="C58">
        <v>10</v>
      </c>
      <c r="D58">
        <v>450</v>
      </c>
      <c r="E58">
        <v>0</v>
      </c>
      <c r="F58">
        <v>4500</v>
      </c>
      <c r="G58">
        <v>810</v>
      </c>
    </row>
    <row r="59" spans="3:7" x14ac:dyDescent="0.2">
      <c r="C59">
        <v>2</v>
      </c>
      <c r="D59">
        <v>30</v>
      </c>
      <c r="E59">
        <v>0</v>
      </c>
      <c r="F59">
        <v>60</v>
      </c>
      <c r="G59">
        <v>10.799999999999999</v>
      </c>
    </row>
    <row r="60" spans="3:7" x14ac:dyDescent="0.2">
      <c r="C60">
        <v>4</v>
      </c>
      <c r="D60">
        <v>100</v>
      </c>
      <c r="E60" s="2">
        <v>0</v>
      </c>
      <c r="F60">
        <v>400</v>
      </c>
      <c r="G60">
        <v>72</v>
      </c>
    </row>
    <row r="61" spans="3:7" x14ac:dyDescent="0.2">
      <c r="C61">
        <v>5</v>
      </c>
      <c r="D61">
        <v>320</v>
      </c>
      <c r="E61" s="2">
        <v>0</v>
      </c>
      <c r="F61">
        <v>1600</v>
      </c>
      <c r="G61">
        <v>288</v>
      </c>
    </row>
    <row r="62" spans="3:7" x14ac:dyDescent="0.2">
      <c r="C62">
        <v>8</v>
      </c>
      <c r="D62">
        <v>20</v>
      </c>
      <c r="E62">
        <v>0</v>
      </c>
      <c r="F62">
        <v>160</v>
      </c>
      <c r="G62">
        <v>28.799999999999997</v>
      </c>
    </row>
    <row r="63" spans="3:7" x14ac:dyDescent="0.2">
      <c r="C63">
        <v>10</v>
      </c>
      <c r="D63">
        <v>450</v>
      </c>
      <c r="E63">
        <v>0</v>
      </c>
      <c r="F63">
        <v>4500</v>
      </c>
      <c r="G63">
        <v>810</v>
      </c>
    </row>
    <row r="64" spans="3:7" x14ac:dyDescent="0.2">
      <c r="C64">
        <v>2</v>
      </c>
      <c r="D64">
        <v>30</v>
      </c>
      <c r="E64">
        <v>0</v>
      </c>
      <c r="F64">
        <v>60</v>
      </c>
      <c r="G64">
        <v>10.799999999999999</v>
      </c>
    </row>
    <row r="65" spans="3:7" x14ac:dyDescent="0.2">
      <c r="C65">
        <v>4</v>
      </c>
      <c r="D65">
        <v>100</v>
      </c>
      <c r="E65" s="2">
        <v>0</v>
      </c>
      <c r="F65">
        <v>400</v>
      </c>
      <c r="G65">
        <v>72</v>
      </c>
    </row>
    <row r="66" spans="3:7" x14ac:dyDescent="0.2">
      <c r="C66">
        <v>5</v>
      </c>
      <c r="D66">
        <v>320</v>
      </c>
      <c r="E66" s="2">
        <v>0</v>
      </c>
      <c r="F66">
        <v>1600</v>
      </c>
      <c r="G66">
        <v>288</v>
      </c>
    </row>
    <row r="67" spans="3:7" x14ac:dyDescent="0.2">
      <c r="C67">
        <v>8</v>
      </c>
      <c r="D67">
        <v>20</v>
      </c>
      <c r="E67">
        <v>0</v>
      </c>
      <c r="F67">
        <v>160</v>
      </c>
      <c r="G67">
        <v>28.799999999999997</v>
      </c>
    </row>
    <row r="68" spans="3:7" x14ac:dyDescent="0.2">
      <c r="C68">
        <v>10</v>
      </c>
      <c r="D68">
        <v>450</v>
      </c>
      <c r="E68">
        <v>0</v>
      </c>
      <c r="F68">
        <v>4500</v>
      </c>
      <c r="G68">
        <v>810</v>
      </c>
    </row>
    <row r="69" spans="3:7" x14ac:dyDescent="0.2">
      <c r="C69">
        <v>2</v>
      </c>
      <c r="D69">
        <v>30</v>
      </c>
      <c r="E69">
        <v>0</v>
      </c>
      <c r="F69">
        <v>60</v>
      </c>
      <c r="G69">
        <v>10.799999999999999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2026-05-10T15:33:01Z</dcterms:created>
  <dcterms:modified xsi:type="dcterms:W3CDTF">2026-05-10T17:18:41Z</dcterms:modified>
</cp:coreProperties>
</file>