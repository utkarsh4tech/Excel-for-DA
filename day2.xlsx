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"/>
    </mc:Choice>
  </mc:AlternateContent>
  <xr:revisionPtr revIDLastSave="0" documentId="13_ncr:1_{5B47ABF3-C88F-B048-92A9-B29D3A8733B7}" xr6:coauthVersionLast="47" xr6:coauthVersionMax="47" xr10:uidLastSave="{00000000-0000-0000-0000-000000000000}"/>
  <bookViews>
    <workbookView xWindow="0" yWindow="600" windowWidth="28800" windowHeight="17400" activeTab="1" xr2:uid="{AA69D6CE-CA30-5E47-ABC0-BDD977BEF659}"/>
  </bookViews>
  <sheets>
    <sheet name="agenda" sheetId="1" r:id="rId1"/>
    <sheet name="Sheet2" sheetId="2" r:id="rId2"/>
  </sheets>
  <definedNames>
    <definedName name="PI">Sheet2!$C$72</definedName>
    <definedName name="xyz">Sheet2!$B$98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2" l="1"/>
  <c r="F98" i="2" a="1"/>
  <c r="C84" i="2" a="1"/>
  <c r="F90" i="2" s="1" a="1"/>
  <c r="C74" i="2"/>
  <c r="C64" i="2"/>
  <c r="C66" i="2" s="1"/>
  <c r="E59" i="2"/>
  <c r="F59" i="2"/>
  <c r="G56" i="2"/>
  <c r="G57" i="2"/>
  <c r="G58" i="2"/>
  <c r="G59" i="2"/>
  <c r="H56" i="2"/>
  <c r="H57" i="2"/>
  <c r="H58" i="2"/>
  <c r="H59" i="2"/>
  <c r="G55" i="2"/>
  <c r="H55" i="2"/>
  <c r="E55" i="2"/>
  <c r="E56" i="2"/>
  <c r="F56" i="2"/>
  <c r="F57" i="2"/>
  <c r="F58" i="2"/>
  <c r="E57" i="2"/>
  <c r="E58" i="2"/>
  <c r="F55" i="2"/>
  <c r="F42" i="2"/>
  <c r="E42" i="2"/>
  <c r="F41" i="2"/>
  <c r="E41" i="2"/>
  <c r="F40" i="2"/>
  <c r="E40" i="2"/>
  <c r="B90" i="2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<sst xmlns="http://schemas.openxmlformats.org/spreadsheetml/2006/main" count="49" uniqueCount="48">
  <si>
    <t>AGENDA</t>
  </si>
  <si>
    <t>Worksheet &amp; Workbook</t>
  </si>
  <si>
    <t>.xlsx</t>
  </si>
  <si>
    <t>for Excel Workbook</t>
  </si>
  <si>
    <t>.xls</t>
  </si>
  <si>
    <t>.xlsm</t>
  </si>
  <si>
    <t>WORKSHEET is part of the workbook</t>
  </si>
  <si>
    <t>How is data present in excel</t>
  </si>
  <si>
    <t xml:space="preserve">ROW </t>
  </si>
  <si>
    <t>COLUMN</t>
  </si>
  <si>
    <t>CELL</t>
  </si>
  <si>
    <t>Horizontal</t>
  </si>
  <si>
    <t>Vertical</t>
  </si>
  <si>
    <t>Block created by intersection of row and column</t>
  </si>
  <si>
    <t xml:space="preserve">Numerals </t>
  </si>
  <si>
    <t>Alphabets</t>
  </si>
  <si>
    <t>&lt;COL_NAME&gt;&lt;ROW_NUM&gt;</t>
  </si>
  <si>
    <t>A1, b3, c44, d23</t>
  </si>
  <si>
    <t>Active cell</t>
  </si>
  <si>
    <t>Cell Refrencing</t>
  </si>
  <si>
    <t>Cell Reference</t>
  </si>
  <si>
    <t>The address of the cell</t>
  </si>
  <si>
    <t>RELATIVE CELL REF</t>
  </si>
  <si>
    <t>Both Row n Col can change</t>
  </si>
  <si>
    <t>A4</t>
  </si>
  <si>
    <t>ABSOLUTE CELL REF</t>
  </si>
  <si>
    <t>HERE NEITHER ROW CAN CHANGE NOR MY COLUMN CAN CHNG</t>
  </si>
  <si>
    <t>$A$4</t>
  </si>
  <si>
    <t>MIXED CELL REF</t>
  </si>
  <si>
    <t>ROW IS FIXED , column can chng</t>
  </si>
  <si>
    <t>A$4</t>
  </si>
  <si>
    <t>COLUMN is fixed but ROW CAN CHNG</t>
  </si>
  <si>
    <t>$A4</t>
  </si>
  <si>
    <t>Qts</t>
  </si>
  <si>
    <t>Price/Unit</t>
  </si>
  <si>
    <t>Disc</t>
  </si>
  <si>
    <t>Price without disc</t>
  </si>
  <si>
    <t>FOR locking cells</t>
  </si>
  <si>
    <t xml:space="preserve">cmd + T </t>
  </si>
  <si>
    <t xml:space="preserve">fn + f4 </t>
  </si>
  <si>
    <t>Windows</t>
  </si>
  <si>
    <t>MAC</t>
  </si>
  <si>
    <t>LOG</t>
  </si>
  <si>
    <t>PI</t>
  </si>
  <si>
    <t>Ranges</t>
  </si>
  <si>
    <t>Range</t>
  </si>
  <si>
    <t>is group of cells</t>
  </si>
  <si>
    <t>&lt;top left&gt;:&lt;bottom right&gt;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</si>
</sst>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2" fillId="3" borderId="0" xfId="0" applyFont="1" applyFill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2" fillId="5" borderId="4" xfId="0" applyFont="1" applyFill="1" applyBorder="1"/>
    <xf numFmtId="0" fontId="2" fillId="5" borderId="0" xfId="0" applyFont="1" applyFill="1"/>
    <xf numFmtId="9" fontId="0" fillId="0" borderId="0" xfId="0" applyNumberFormat="1"/>
    <xf numFmtId="9" fontId="2" fillId="5" borderId="5" xfId="0" applyNumberFormat="1" applyFont="1" applyFill="1" applyBorder="1"/>
    <xf numFmtId="0" fontId="2" fillId="0" borderId="4" xfId="0" applyFont="1" applyBorder="1"/>
    <xf numFmtId="9" fontId="2" fillId="0" borderId="5" xfId="0" applyNumberFormat="1" applyFont="1" applyBorder="1"/>
    <xf numFmtId="0" fontId="2" fillId="5" borderId="6" xfId="0" applyFont="1" applyFill="1" applyBorder="1"/>
    <xf numFmtId="0" fontId="2" fillId="5" borderId="7" xfId="0" applyFont="1" applyFill="1" applyBorder="1"/>
    <xf numFmtId="9" fontId="2" fillId="5" borderId="8" xfId="0" applyNumberFormat="1" applyFont="1" applyFill="1" applyBorder="1"/>
    <xf numFmtId="0" fontId="3" fillId="4" borderId="0" xfId="0" applyFont="1" applyFill="1" applyBorder="1"/>
    <xf numFmtId="0" fontId="0" fillId="0" borderId="9" xfId="0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22925</xdr:colOff>
      <xdr:row>22</xdr:row>
      <xdr:rowOff>68773</xdr:rowOff>
    </xdr:from>
    <xdr:to>
      <xdr:col>7</xdr:col>
      <xdr:colOff>303242</xdr:colOff>
      <xdr:row>29</xdr:row>
      <xdr:rowOff>66343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0D117A-C757-E6C5-435D-C98D5081B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8737" y="4506896"/>
          <a:ext cx="3581400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255A-8F2E-074D-8C5F-0095054EFE1B}">
  <dimension ref="A2:F22"/>
  <sheetViews>
    <sheetView topLeftCell="A15" zoomScale="292" workbookViewId="0">
      <selection activeCell="C24" sqref="C24"/>
    </sheetView>
  </sheetViews>
  <sheetFormatPr baseColWidth="10" defaultRowHeight="16" x14ac:dyDescent="0.2"/>
  <sheetData>
    <row r="2" spans="2:4" x14ac:dyDescent="0.2">
      <c r="B2" s="1" t="s">
        <v>0</v>
      </c>
      <c r="C2" s="1"/>
    </row>
    <row r="3" spans="2:4" x14ac:dyDescent="0.2">
      <c r="B3" s="1"/>
      <c r="C3" s="1"/>
    </row>
    <row r="5" spans="2:4" x14ac:dyDescent="0.2">
      <c r="B5" t="s">
        <v>1</v>
      </c>
    </row>
    <row r="7" spans="2:4" x14ac:dyDescent="0.2">
      <c r="B7" t="s">
        <v>7</v>
      </c>
    </row>
    <row r="9" spans="2:4" x14ac:dyDescent="0.2">
      <c r="B9" t="s">
        <v>19</v>
      </c>
    </row>
    <row r="12" spans="2:4" x14ac:dyDescent="0.2">
      <c r="B12" t="s">
        <v>37</v>
      </c>
    </row>
    <row r="14" spans="2:4" x14ac:dyDescent="0.2">
      <c r="C14" t="s">
        <v>38</v>
      </c>
      <c r="D14" t="s">
        <v>41</v>
      </c>
    </row>
    <row r="15" spans="2:4" x14ac:dyDescent="0.2">
      <c r="C15" t="s">
        <v>39</v>
      </c>
      <c r="D15" t="s">
        <v>40</v>
      </c>
    </row>
    <row r="18" spans="1:6" x14ac:dyDescent="0.2">
      <c r="A18" s="2"/>
      <c r="B18" s="2"/>
      <c r="C18" s="2"/>
      <c r="D18" s="2"/>
      <c r="E18" s="2"/>
      <c r="F18" s="2"/>
    </row>
    <row r="21" spans="1:6" x14ac:dyDescent="0.2">
      <c r="B21" t="s">
        <v>44</v>
      </c>
    </row>
    <row r="22" spans="1:6" x14ac:dyDescent="0.2">
      <c r="C22" t="s">
        <v>47</v>
      </c>
    </row>
  </sheetData>
  <mergeCells count="1">
    <mergeCell ref="B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054D-604A-F247-8E32-6886FF7BF14B}">
  <dimension ref="A4:K103"/>
  <sheetViews>
    <sheetView tabSelected="1" topLeftCell="B95" zoomScale="337" workbookViewId="0">
      <selection activeCell="E99" sqref="E99"/>
    </sheetView>
  </sheetViews>
  <sheetFormatPr baseColWidth="10" defaultRowHeight="16" x14ac:dyDescent="0.2"/>
  <sheetData>
    <row r="4" spans="1:6" x14ac:dyDescent="0.2">
      <c r="C4" t="s">
        <v>2</v>
      </c>
      <c r="E4" t="s">
        <v>3</v>
      </c>
    </row>
    <row r="5" spans="1:6" x14ac:dyDescent="0.2">
      <c r="C5" t="s">
        <v>4</v>
      </c>
    </row>
    <row r="6" spans="1:6" x14ac:dyDescent="0.2">
      <c r="C6" t="s">
        <v>5</v>
      </c>
    </row>
    <row r="8" spans="1:6" x14ac:dyDescent="0.2">
      <c r="C8" t="s">
        <v>6</v>
      </c>
    </row>
    <row r="11" spans="1:6" x14ac:dyDescent="0.2">
      <c r="A11" s="2"/>
      <c r="B11" s="2"/>
      <c r="C11" s="2"/>
      <c r="D11" s="2"/>
      <c r="E11" s="2"/>
    </row>
    <row r="13" spans="1:6" x14ac:dyDescent="0.2">
      <c r="B13" s="3" t="s">
        <v>8</v>
      </c>
      <c r="C13" s="3"/>
      <c r="D13" s="3" t="s">
        <v>9</v>
      </c>
      <c r="E13" s="3"/>
      <c r="F13" s="3" t="s">
        <v>10</v>
      </c>
    </row>
    <row r="14" spans="1:6" x14ac:dyDescent="0.2">
      <c r="B14" s="3"/>
      <c r="C14" s="3"/>
      <c r="D14" s="3"/>
      <c r="E14" s="3"/>
      <c r="F14" s="3"/>
    </row>
    <row r="15" spans="1:6" x14ac:dyDescent="0.2">
      <c r="B15" s="3" t="s">
        <v>11</v>
      </c>
      <c r="C15" s="3"/>
      <c r="D15" s="3" t="s">
        <v>12</v>
      </c>
      <c r="E15" s="3"/>
      <c r="F15" s="3" t="s">
        <v>13</v>
      </c>
    </row>
    <row r="16" spans="1:6" x14ac:dyDescent="0.2">
      <c r="B16" s="3"/>
      <c r="C16" s="3"/>
      <c r="D16" s="3"/>
      <c r="E16" s="3"/>
      <c r="F16" s="3"/>
    </row>
    <row r="17" spans="1:8" x14ac:dyDescent="0.2">
      <c r="B17" s="3" t="s">
        <v>14</v>
      </c>
      <c r="C17" s="3"/>
      <c r="D17" s="3" t="s">
        <v>15</v>
      </c>
      <c r="E17" s="3"/>
      <c r="F17" s="3" t="s">
        <v>16</v>
      </c>
    </row>
    <row r="18" spans="1:8" x14ac:dyDescent="0.2">
      <c r="B18" s="3"/>
      <c r="C18" s="3"/>
      <c r="D18" s="3"/>
      <c r="E18" s="3"/>
      <c r="F18" s="3" t="s">
        <v>17</v>
      </c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4" spans="1:8" x14ac:dyDescent="0.2">
      <c r="C24" t="s">
        <v>18</v>
      </c>
    </row>
    <row r="32" spans="1:8" x14ac:dyDescent="0.2">
      <c r="A32" s="2"/>
      <c r="B32" s="2"/>
      <c r="C32" s="2"/>
      <c r="D32" s="2"/>
      <c r="E32" s="2"/>
      <c r="F32" s="2"/>
      <c r="G32" s="2"/>
    </row>
    <row r="35" spans="2:11" x14ac:dyDescent="0.2">
      <c r="B35" t="s">
        <v>20</v>
      </c>
    </row>
    <row r="37" spans="2:11" x14ac:dyDescent="0.2">
      <c r="B37" t="s">
        <v>21</v>
      </c>
    </row>
    <row r="40" spans="2:11" x14ac:dyDescent="0.2">
      <c r="B40">
        <v>10</v>
      </c>
      <c r="C40">
        <v>39</v>
      </c>
      <c r="E40">
        <f>B40+C40</f>
        <v>49</v>
      </c>
      <c r="F40" t="str">
        <f ca="1">_xlfn.FORMULATEXT(E40)</f>
        <v>=B40+C40</v>
      </c>
    </row>
    <row r="41" spans="2:11" x14ac:dyDescent="0.2">
      <c r="E41">
        <f>B40*C40</f>
        <v>390</v>
      </c>
      <c r="F41" t="str">
        <f ca="1">_xlfn.FORMULATEXT(E41)</f>
        <v>=B40*C40</v>
      </c>
    </row>
    <row r="42" spans="2:11" x14ac:dyDescent="0.2">
      <c r="E42">
        <f>C40-B40</f>
        <v>29</v>
      </c>
      <c r="F42" t="str">
        <f ca="1">_xlfn.FORMULATEXT(E42)</f>
        <v>=C40-B40</v>
      </c>
    </row>
    <row r="46" spans="2:11" x14ac:dyDescent="0.2">
      <c r="B46" s="4" t="s">
        <v>22</v>
      </c>
      <c r="C46" s="4"/>
      <c r="D46" s="3"/>
      <c r="E46" s="3" t="s">
        <v>23</v>
      </c>
      <c r="F46" s="3"/>
      <c r="G46" s="3"/>
      <c r="H46" s="3"/>
      <c r="I46" s="3"/>
      <c r="J46" s="3"/>
      <c r="K46" s="3" t="s">
        <v>24</v>
      </c>
    </row>
    <row r="47" spans="2:11" x14ac:dyDescent="0.2">
      <c r="B47" s="4" t="s">
        <v>25</v>
      </c>
      <c r="C47" s="4"/>
      <c r="D47" s="3"/>
      <c r="E47" s="3" t="s">
        <v>26</v>
      </c>
      <c r="F47" s="3"/>
      <c r="G47" s="3"/>
      <c r="H47" s="3"/>
      <c r="I47" s="3"/>
      <c r="J47" s="3"/>
      <c r="K47" s="3" t="s">
        <v>27</v>
      </c>
    </row>
    <row r="48" spans="2:11" x14ac:dyDescent="0.2">
      <c r="B48" s="4"/>
      <c r="C48" s="4"/>
      <c r="D48" s="3"/>
      <c r="E48" s="3"/>
      <c r="F48" s="3"/>
      <c r="G48" s="3"/>
      <c r="H48" s="3"/>
      <c r="I48" s="3"/>
      <c r="J48" s="3"/>
      <c r="K48" s="3"/>
    </row>
    <row r="49" spans="2:11" x14ac:dyDescent="0.2">
      <c r="B49" s="4" t="s">
        <v>28</v>
      </c>
      <c r="C49" s="4"/>
      <c r="D49" s="3"/>
      <c r="E49" s="3" t="s">
        <v>29</v>
      </c>
      <c r="F49" s="3"/>
      <c r="G49" s="3"/>
      <c r="H49" s="3"/>
      <c r="I49" s="3"/>
      <c r="J49" s="3"/>
      <c r="K49" s="3" t="s">
        <v>30</v>
      </c>
    </row>
    <row r="50" spans="2:11" x14ac:dyDescent="0.2">
      <c r="B50" s="4" t="s">
        <v>28</v>
      </c>
      <c r="C50" s="4"/>
      <c r="D50" s="3"/>
      <c r="E50" s="3" t="s">
        <v>31</v>
      </c>
      <c r="F50" s="3"/>
      <c r="G50" s="3"/>
      <c r="H50" s="3"/>
      <c r="I50" s="3"/>
      <c r="J50" s="3"/>
      <c r="K50" s="3" t="s">
        <v>32</v>
      </c>
    </row>
    <row r="52" spans="2:11" x14ac:dyDescent="0.2">
      <c r="F52" s="10">
        <v>0.1</v>
      </c>
    </row>
    <row r="54" spans="2:11" x14ac:dyDescent="0.2">
      <c r="B54" s="5" t="s">
        <v>33</v>
      </c>
      <c r="C54" s="6" t="s">
        <v>34</v>
      </c>
      <c r="D54" s="7" t="s">
        <v>35</v>
      </c>
      <c r="E54" s="17" t="s">
        <v>36</v>
      </c>
    </row>
    <row r="55" spans="2:11" x14ac:dyDescent="0.2">
      <c r="B55" s="8">
        <v>4</v>
      </c>
      <c r="C55" s="9">
        <v>100</v>
      </c>
      <c r="D55" s="11">
        <v>0.1</v>
      </c>
      <c r="E55">
        <f>B55*C55</f>
        <v>400</v>
      </c>
      <c r="F55" t="str">
        <f ca="1">_xlfn.FORMULATEXT(E55)</f>
        <v>=B55*C55</v>
      </c>
      <c r="G55">
        <f>E55*(1+$F$52)</f>
        <v>440.00000000000006</v>
      </c>
      <c r="H55" t="str">
        <f ca="1">_xlfn.FORMULATEXT(G55)</f>
        <v>=E55*(1+$F$52)</v>
      </c>
    </row>
    <row r="56" spans="2:11" x14ac:dyDescent="0.2">
      <c r="B56" s="12">
        <v>5</v>
      </c>
      <c r="C56" s="3">
        <v>300</v>
      </c>
      <c r="D56" s="13">
        <v>0.15</v>
      </c>
      <c r="E56">
        <f>B56*C56</f>
        <v>1500</v>
      </c>
      <c r="F56" t="str">
        <f t="shared" ref="F56:F59" ca="1" si="0">_xlfn.FORMULATEXT(E56)</f>
        <v>=B56*C56</v>
      </c>
      <c r="G56">
        <f t="shared" ref="G56:G59" si="1">E56*(1+$F$52)</f>
        <v>1650.0000000000002</v>
      </c>
      <c r="H56" t="str">
        <f t="shared" ref="H56:H59" ca="1" si="2">_xlfn.FORMULATEXT(G56)</f>
        <v>=E56*(1+$F$52)</v>
      </c>
    </row>
    <row r="57" spans="2:11" x14ac:dyDescent="0.2">
      <c r="B57" s="8">
        <v>8</v>
      </c>
      <c r="C57" s="9">
        <v>20</v>
      </c>
      <c r="D57" s="11">
        <v>0</v>
      </c>
      <c r="E57">
        <f t="shared" ref="E57:E59" si="3">B57*C57</f>
        <v>160</v>
      </c>
      <c r="F57" t="str">
        <f t="shared" ca="1" si="0"/>
        <v>=B57*C57</v>
      </c>
      <c r="G57">
        <f t="shared" si="1"/>
        <v>176</v>
      </c>
      <c r="H57" t="str">
        <f t="shared" ca="1" si="2"/>
        <v>=E57*(1+$F$52)</v>
      </c>
    </row>
    <row r="58" spans="2:11" x14ac:dyDescent="0.2">
      <c r="B58" s="12">
        <v>10</v>
      </c>
      <c r="C58" s="3">
        <v>440</v>
      </c>
      <c r="D58" s="13">
        <v>0</v>
      </c>
      <c r="E58">
        <f t="shared" si="3"/>
        <v>4400</v>
      </c>
      <c r="F58" t="str">
        <f t="shared" ca="1" si="0"/>
        <v>=B58*C58</v>
      </c>
      <c r="G58">
        <f t="shared" si="1"/>
        <v>4840</v>
      </c>
      <c r="H58" t="str">
        <f t="shared" ca="1" si="2"/>
        <v>=E58*(1+$F$52)</v>
      </c>
    </row>
    <row r="59" spans="2:11" x14ac:dyDescent="0.2">
      <c r="B59" s="14">
        <v>2</v>
      </c>
      <c r="C59" s="15">
        <v>30</v>
      </c>
      <c r="D59" s="16">
        <v>0.2</v>
      </c>
      <c r="E59">
        <f>B59*C59</f>
        <v>60</v>
      </c>
      <c r="F59" t="str">
        <f ca="1">_xlfn.FORMULATEXT(E59)</f>
        <v>=B59*C59</v>
      </c>
      <c r="G59">
        <f t="shared" si="1"/>
        <v>66</v>
      </c>
      <c r="H59" t="str">
        <f t="shared" ca="1" si="2"/>
        <v>=E59*(1+$F$52)</v>
      </c>
    </row>
    <row r="63" spans="2:11" x14ac:dyDescent="0.2">
      <c r="B63" t="s">
        <v>42</v>
      </c>
    </row>
    <row r="64" spans="2:11" x14ac:dyDescent="0.2">
      <c r="B64">
        <v>100</v>
      </c>
      <c r="C64">
        <f>LOG10(B64)</f>
        <v>2</v>
      </c>
    </row>
    <row r="66" spans="1:9" x14ac:dyDescent="0.2">
      <c r="C66" t="str">
        <f>IF(C64&gt;0,"Positive","Negative")</f>
        <v>Positive</v>
      </c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2" spans="1:9" x14ac:dyDescent="0.2">
      <c r="B72" t="s">
        <v>43</v>
      </c>
      <c r="C72">
        <v>3.1419999999999999</v>
      </c>
    </row>
    <row r="74" spans="1:9" x14ac:dyDescent="0.2">
      <c r="C74">
        <f>PI</f>
        <v>3.1419999999999999</v>
      </c>
    </row>
    <row r="77" spans="1:9" x14ac:dyDescent="0.2">
      <c r="A77" s="2"/>
      <c r="B77" s="2"/>
      <c r="C77" s="2"/>
      <c r="D77" s="2"/>
      <c r="E77" s="2"/>
      <c r="F77" s="2"/>
      <c r="G77" s="2"/>
    </row>
    <row r="80" spans="1:9" x14ac:dyDescent="0.2">
      <c r="B80" t="s">
        <v>45</v>
      </c>
    </row>
    <row r="82" spans="2:7" x14ac:dyDescent="0.2">
      <c r="B82" t="s">
        <v>46</v>
      </c>
    </row>
    <row r="84" spans="2:7" x14ac:dyDescent="0.2">
      <c r="C84" cm="1">
        <f t="array" aca="1" ref="C84:E88" ca="1">_xlfn.RANDARRAY(5,3)</f>
        <v>0.23806319133790588</v>
      </c>
      <c r="D84">
        <f ca="1"/>
        <v>0.44863834368841848</v>
      </c>
      <c r="E84">
        <f ca="1"/>
        <v>0.23545941917966529</v>
      </c>
    </row>
    <row r="85" spans="2:7" x14ac:dyDescent="0.2">
      <c r="C85">
        <f ca="1"/>
        <v>0.35905360620029425</v>
      </c>
      <c r="D85">
        <f ca="1"/>
        <v>0.88815834937748983</v>
      </c>
      <c r="E85">
        <f ca="1"/>
        <v>0.62650555536990526</v>
      </c>
    </row>
    <row r="86" spans="2:7" x14ac:dyDescent="0.2">
      <c r="C86">
        <f ca="1"/>
        <v>0.21695555149213774</v>
      </c>
      <c r="D86">
        <f ca="1"/>
        <v>0.94817606079945227</v>
      </c>
      <c r="E86">
        <f ca="1"/>
        <v>0.76933408646433699</v>
      </c>
    </row>
    <row r="87" spans="2:7" x14ac:dyDescent="0.2">
      <c r="C87">
        <f ca="1"/>
        <v>7.2502185687273402E-2</v>
      </c>
      <c r="D87">
        <f ca="1"/>
        <v>0.61690134661491025</v>
      </c>
      <c r="E87">
        <f ca="1"/>
        <v>2.9906105391920512E-2</v>
      </c>
    </row>
    <row r="88" spans="2:7" x14ac:dyDescent="0.2">
      <c r="C88">
        <f ca="1"/>
        <v>0.75391672648941865</v>
      </c>
      <c r="D88">
        <f ca="1"/>
        <v>0.47048493977062256</v>
      </c>
      <c r="E88">
        <f ca="1"/>
        <v>0.11313515663120155</v>
      </c>
    </row>
    <row r="90" spans="2:7" x14ac:dyDescent="0.2">
      <c r="B90" cm="1">
        <f t="array" aca="1" ref="B90:D94" ca="1">C84:E88</f>
        <v>0.23806319133790588</v>
      </c>
      <c r="C90">
        <f ca="1"/>
        <v>0.44863834368841848</v>
      </c>
      <c r="D90">
        <f ca="1"/>
        <v>0.23545941917966529</v>
      </c>
      <c r="F90" cm="1">
        <f t="array" aca="1" ref="F90:G91" ca="1">C84:D85</f>
        <v>0.23806319133790588</v>
      </c>
      <c r="G90">
        <f ca="1"/>
        <v>0.44863834368841848</v>
      </c>
    </row>
    <row r="91" spans="2:7" x14ac:dyDescent="0.2">
      <c r="B91">
        <f ca="1"/>
        <v>0.35905360620029425</v>
      </c>
      <c r="C91">
        <f ca="1"/>
        <v>0.88815834937748983</v>
      </c>
      <c r="D91">
        <f ca="1"/>
        <v>0.62650555536990526</v>
      </c>
      <c r="F91">
        <f ca="1"/>
        <v>0.35905360620029425</v>
      </c>
      <c r="G91">
        <f ca="1"/>
        <v>0.88815834937748983</v>
      </c>
    </row>
    <row r="92" spans="2:7" x14ac:dyDescent="0.2">
      <c r="B92">
        <f ca="1"/>
        <v>0.21695555149213774</v>
      </c>
      <c r="C92">
        <f ca="1"/>
        <v>0.94817606079945227</v>
      </c>
      <c r="D92">
        <f ca="1"/>
        <v>0.76933408646433699</v>
      </c>
    </row>
    <row r="93" spans="2:7" x14ac:dyDescent="0.2">
      <c r="B93">
        <f ca="1"/>
        <v>7.2502185687273402E-2</v>
      </c>
      <c r="C93">
        <f ca="1"/>
        <v>0.61690134661491025</v>
      </c>
      <c r="D93">
        <f ca="1"/>
        <v>2.9906105391920512E-2</v>
      </c>
    </row>
    <row r="94" spans="2:7" x14ac:dyDescent="0.2">
      <c r="B94">
        <f ca="1"/>
        <v>0.75391672648941865</v>
      </c>
      <c r="C94">
        <f ca="1"/>
        <v>0.47048493977062256</v>
      </c>
      <c r="D94">
        <f ca="1"/>
        <v>0.11313515663120155</v>
      </c>
    </row>
    <row r="97" spans="2:7" x14ac:dyDescent="0.2">
      <c r="B97" s="18"/>
      <c r="C97" s="18"/>
      <c r="D97" s="18"/>
    </row>
    <row r="98" spans="2:7" x14ac:dyDescent="0.2">
      <c r="B98" s="18">
        <v>33</v>
      </c>
      <c r="C98" s="19">
        <v>2</v>
      </c>
      <c r="D98" s="19"/>
      <c r="F98" cm="1">
        <f t="array" ref="F98:G100">C98:D100</f>
        <v>2</v>
      </c>
      <c r="G98">
        <v>0</v>
      </c>
    </row>
    <row r="99" spans="2:7" x14ac:dyDescent="0.2">
      <c r="B99" s="18"/>
      <c r="C99" s="19"/>
      <c r="D99" s="19">
        <v>5</v>
      </c>
      <c r="F99">
        <v>0</v>
      </c>
      <c r="G99">
        <v>5</v>
      </c>
    </row>
    <row r="100" spans="2:7" x14ac:dyDescent="0.2">
      <c r="B100" s="18"/>
      <c r="C100" s="19">
        <v>6</v>
      </c>
      <c r="D100" s="19"/>
      <c r="F100">
        <v>6</v>
      </c>
      <c r="G100">
        <v>0</v>
      </c>
    </row>
    <row r="101" spans="2:7" x14ac:dyDescent="0.2">
      <c r="B101" s="18"/>
      <c r="C101" s="18"/>
      <c r="D101" s="18"/>
    </row>
    <row r="103" spans="2:7" x14ac:dyDescent="0.2">
      <c r="B103">
        <f>xyz</f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agenda</vt:lpstr>
      <vt:lpstr>Sheet2</vt:lpstr>
      <vt:lpstr>PI</vt:lpstr>
      <vt:lpstr>xyz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2026-09-14T15:33:27Z</dcterms:created>
  <dcterms:modified xsi:type="dcterms:W3CDTF">2026-09-14T17:35:45Z</dcterms:modified>
</cp:coreProperties>
</file>