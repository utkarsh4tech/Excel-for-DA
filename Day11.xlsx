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381BEF5B-A488-874B-8F6B-6AECB510AD65}" xr6:coauthVersionLast="47" xr6:coauthVersionMax="47" xr10:uidLastSave="{00000000-0000-0000-0000-000000000000}"/>
  <bookViews>
    <workbookView xWindow="0" yWindow="600" windowWidth="28800" windowHeight="17400" activeTab="6" xr2:uid="{B7143382-85BD-1E4A-9022-8F809A0473B6}"/>
  </bookViews>
  <sheets>
    <sheet name="agenda" sheetId="1" r:id="rId1"/>
    <sheet name="Sheet2" sheetId="2" r:id="rId2"/>
    <sheet name="Line" sheetId="3" r:id="rId3"/>
    <sheet name="bar" sheetId="4" r:id="rId4"/>
    <sheet name="PIE" sheetId="5" r:id="rId5"/>
    <sheet name="boxplot" sheetId="6" r:id="rId6"/>
    <sheet name="Sheet7" sheetId="7" r:id="rId7"/>
  </sheets>
  <definedNames>
    <definedName name="_xlchart.v1.0" hidden="1">boxplot!$B$16:$B$35</definedName>
    <definedName name="_xlchart.v1.1" hidden="1">boxplot!$C$16:$C$35</definedName>
    <definedName name="_xlchart.v1.2" hidden="1">boxplot!$B$16:$B$35</definedName>
    <definedName name="_xlchart.v1.3" hidden="1">boxplot!$C$16:$C$35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7" l="1"/>
  <c r="F33" i="7"/>
  <c r="F31" i="7"/>
  <c r="F29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4" i="7"/>
  <c r="C10" i="5"/>
  <c r="G19" i="2" a="1"/>
  <c r="G13" i="2"/>
  <c r="B13" i="2" a="1"/>
  <c r="G1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<sst xmlns="http://schemas.openxmlformats.org/spreadsheetml/2006/main" count="64" uniqueCount="49">
  <si>
    <t>Student Id</t>
  </si>
  <si>
    <t>Name</t>
  </si>
  <si>
    <t>Course</t>
  </si>
  <si>
    <t>Phn Num</t>
  </si>
  <si>
    <t>Jennifer</t>
  </si>
  <si>
    <t>Bsc Phy</t>
  </si>
  <si>
    <t>Fake num 1</t>
  </si>
  <si>
    <t>Shyaam</t>
  </si>
  <si>
    <t>Bsc Chem</t>
  </si>
  <si>
    <t>Fake num 2</t>
  </si>
  <si>
    <t>Meena</t>
  </si>
  <si>
    <t>Ba History</t>
  </si>
  <si>
    <t>Fake num 3</t>
  </si>
  <si>
    <t>Arjun</t>
  </si>
  <si>
    <t>MBA HR</t>
  </si>
  <si>
    <t>Fake num 4</t>
  </si>
  <si>
    <t>Dolly</t>
  </si>
  <si>
    <t>Ba Soci</t>
  </si>
  <si>
    <t>Fake num 5</t>
  </si>
  <si>
    <t>Sonam</t>
  </si>
  <si>
    <t>Fake num 6</t>
  </si>
  <si>
    <t>Data visualisation</t>
  </si>
  <si>
    <t xml:space="preserve">A process of converting raw data and the insights into a visual </t>
  </si>
  <si>
    <t>Company 1</t>
  </si>
  <si>
    <t>Company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</si>
  <si>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</si>
  <si>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</si>
  <si>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</si>
  <si>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</si>
  <si>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</si>
  <si>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</si>
  <si>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</si>
  <si>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</si>
  <si>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</si>
  <si>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</si>
  <si>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</si>
  <si>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</si>
  <si>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</si>
  <si>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</si>
  <si>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</si>
  <si>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</si>
  <si>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Revenue (in K)</t>
  </si>
  <si>
    <t>X</t>
  </si>
  <si>
    <t>e</t>
  </si>
  <si>
    <t>Y</t>
  </si>
  <si>
    <t>Y = -3*X + 7</t>
  </si>
  <si>
    <t>CORRELATION ANALYSIS</t>
  </si>
  <si>
    <t xml:space="preserve">a value from -1 to 1 </t>
  </si>
  <si>
    <t>which tell how 1 var is related to another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</si>
</sst>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Line!$C$3</c:f>
              <c:strCache>
                <c:ptCount val="1"/>
                <c:pt idx="0">
                  <c:v>Company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Line!$C$4:$C$15</c:f>
              <c:numCache>
                <c:formatCode>General</c:formatCode>
                <c:ptCount val="12"/>
                <c:pt idx="0">
                  <c:v>309</c:v>
                </c:pt>
                <c:pt idx="1">
                  <c:v>371</c:v>
                </c:pt>
                <c:pt idx="2">
                  <c:v>187</c:v>
                </c:pt>
                <c:pt idx="3">
                  <c:v>154</c:v>
                </c:pt>
                <c:pt idx="4">
                  <c:v>455</c:v>
                </c:pt>
                <c:pt idx="5">
                  <c:v>450</c:v>
                </c:pt>
                <c:pt idx="6">
                  <c:v>206</c:v>
                </c:pt>
                <c:pt idx="7">
                  <c:v>254</c:v>
                </c:pt>
                <c:pt idx="8">
                  <c:v>416</c:v>
                </c:pt>
                <c:pt idx="9">
                  <c:v>446</c:v>
                </c:pt>
                <c:pt idx="10">
                  <c:v>411</c:v>
                </c:pt>
                <c:pt idx="11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C-F846-92CC-19B87BFB9412}"/>
            </c:ext>
          </c:extLst>
        </c:ser>
        <c:ser>
          <c:idx val="1"/>
          <c:order val="1"/>
          <c:tx>
            <c:strRef>
              <c:f>Line!$D$3</c:f>
              <c:strCache>
                <c:ptCount val="1"/>
                <c:pt idx="0">
                  <c:v>Company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Line!$D$4:$D$15</c:f>
              <c:numCache>
                <c:formatCode>General</c:formatCode>
                <c:ptCount val="12"/>
                <c:pt idx="0">
                  <c:v>428</c:v>
                </c:pt>
                <c:pt idx="1">
                  <c:v>171</c:v>
                </c:pt>
                <c:pt idx="2">
                  <c:v>331</c:v>
                </c:pt>
                <c:pt idx="3">
                  <c:v>358</c:v>
                </c:pt>
                <c:pt idx="4">
                  <c:v>123</c:v>
                </c:pt>
                <c:pt idx="5">
                  <c:v>231</c:v>
                </c:pt>
                <c:pt idx="6">
                  <c:v>229</c:v>
                </c:pt>
                <c:pt idx="7">
                  <c:v>122</c:v>
                </c:pt>
                <c:pt idx="8">
                  <c:v>231</c:v>
                </c:pt>
                <c:pt idx="9">
                  <c:v>297</c:v>
                </c:pt>
                <c:pt idx="10">
                  <c:v>434</c:v>
                </c:pt>
                <c:pt idx="11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C-F846-92CC-19B87BFB9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858623"/>
        <c:axId val="389428351"/>
      </c:lineChart>
      <c:catAx>
        <c:axId val="40385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28351"/>
        <c:crosses val="autoZero"/>
        <c:auto val="1"/>
        <c:lblAlgn val="ctr"/>
        <c:lblOffset val="100"/>
        <c:noMultiLvlLbl val="0"/>
      </c:catAx>
      <c:valAx>
        <c:axId val="3894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85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bar!$D$4</c:f>
              <c:strCache>
                <c:ptCount val="1"/>
                <c:pt idx="0">
                  <c:v>Company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bar!$C$5:$C$16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bar!$D$5:$D$16</c:f>
              <c:numCache>
                <c:formatCode>General</c:formatCode>
                <c:ptCount val="12"/>
                <c:pt idx="0">
                  <c:v>309</c:v>
                </c:pt>
                <c:pt idx="1">
                  <c:v>371</c:v>
                </c:pt>
                <c:pt idx="2">
                  <c:v>187</c:v>
                </c:pt>
                <c:pt idx="3">
                  <c:v>154</c:v>
                </c:pt>
                <c:pt idx="4">
                  <c:v>455</c:v>
                </c:pt>
                <c:pt idx="5">
                  <c:v>450</c:v>
                </c:pt>
                <c:pt idx="6">
                  <c:v>206</c:v>
                </c:pt>
                <c:pt idx="7">
                  <c:v>254</c:v>
                </c:pt>
                <c:pt idx="8">
                  <c:v>416</c:v>
                </c:pt>
                <c:pt idx="9">
                  <c:v>446</c:v>
                </c:pt>
                <c:pt idx="10">
                  <c:v>411</c:v>
                </c:pt>
                <c:pt idx="1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1-AB46-AA98-EC1D00E9A776}"/>
            </c:ext>
          </c:extLst>
        </c:ser>
        <c:ser>
          <c:idx val="1"/>
          <c:order val="1"/>
          <c:tx>
            <c:strRef>
              <c:f>bar!$E$4</c:f>
              <c:strCache>
                <c:ptCount val="1"/>
                <c:pt idx="0">
                  <c:v>Company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bar!$C$5:$C$16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bar!$E$5:$E$16</c:f>
              <c:numCache>
                <c:formatCode>General</c:formatCode>
                <c:ptCount val="12"/>
                <c:pt idx="0">
                  <c:v>428</c:v>
                </c:pt>
                <c:pt idx="1">
                  <c:v>171</c:v>
                </c:pt>
                <c:pt idx="2">
                  <c:v>331</c:v>
                </c:pt>
                <c:pt idx="3">
                  <c:v>358</c:v>
                </c:pt>
                <c:pt idx="4">
                  <c:v>123</c:v>
                </c:pt>
                <c:pt idx="5">
                  <c:v>231</c:v>
                </c:pt>
                <c:pt idx="6">
                  <c:v>229</c:v>
                </c:pt>
                <c:pt idx="7">
                  <c:v>122</c:v>
                </c:pt>
                <c:pt idx="8">
                  <c:v>231</c:v>
                </c:pt>
                <c:pt idx="9">
                  <c:v>297</c:v>
                </c:pt>
                <c:pt idx="10">
                  <c:v>434</c:v>
                </c:pt>
                <c:pt idx="11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51-AB46-AA98-EC1D00E9A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553151"/>
        <c:axId val="396551359"/>
      </c:barChart>
      <c:catAx>
        <c:axId val="39655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51359"/>
        <c:crosses val="autoZero"/>
        <c:auto val="1"/>
        <c:lblAlgn val="ctr"/>
        <c:lblOffset val="100"/>
        <c:noMultiLvlLbl val="0"/>
      </c:catAx>
      <c:valAx>
        <c:axId val="39655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5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PIE!$C$4</c:f>
              <c:strCache>
                <c:ptCount val="1"/>
                <c:pt idx="0">
                  <c:v>Revenue (in 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PIE!$B$5:$B$8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PIE!$C$5:$C$8</c:f>
              <c:numCache>
                <c:formatCode>General</c:formatCode>
                <c:ptCount val="4"/>
                <c:pt idx="0">
                  <c:v>400</c:v>
                </c:pt>
                <c:pt idx="1">
                  <c:v>260</c:v>
                </c:pt>
                <c:pt idx="2">
                  <c:v>300</c:v>
                </c:pt>
                <c:pt idx="3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5-3245-9D7A-064C27225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Sheet7!$D$3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Sheet7!$B$4:$B$23</c:f>
              <c:numCache>
                <c:formatCode>General</c:formatCode>
                <c:ptCount val="20"/>
                <c:pt idx="0">
                  <c:v>5</c:v>
                </c:pt>
                <c:pt idx="1">
                  <c:v>6</c:v>
                </c:pt>
                <c:pt idx="2">
                  <c:v>-3</c:v>
                </c:pt>
                <c:pt idx="3">
                  <c:v>10</c:v>
                </c:pt>
                <c:pt idx="4">
                  <c:v>1</c:v>
                </c:pt>
                <c:pt idx="5">
                  <c:v>-5</c:v>
                </c:pt>
                <c:pt idx="6">
                  <c:v>-1</c:v>
                </c:pt>
                <c:pt idx="7">
                  <c:v>3</c:v>
                </c:pt>
                <c:pt idx="8">
                  <c:v>7</c:v>
                </c:pt>
                <c:pt idx="9">
                  <c:v>-5</c:v>
                </c:pt>
                <c:pt idx="10">
                  <c:v>10</c:v>
                </c:pt>
                <c:pt idx="11">
                  <c:v>-5</c:v>
                </c:pt>
                <c:pt idx="12">
                  <c:v>9</c:v>
                </c:pt>
                <c:pt idx="13">
                  <c:v>3</c:v>
                </c:pt>
                <c:pt idx="14">
                  <c:v>-4</c:v>
                </c:pt>
                <c:pt idx="15">
                  <c:v>8</c:v>
                </c:pt>
                <c:pt idx="16">
                  <c:v>5</c:v>
                </c:pt>
                <c:pt idx="17">
                  <c:v>-3</c:v>
                </c:pt>
                <c:pt idx="18">
                  <c:v>0</c:v>
                </c:pt>
                <c:pt idx="19">
                  <c:v>7</c:v>
                </c:pt>
              </c:numCache>
            </c:numRef>
          </c:xVal>
          <c:yVal>
            <c:numRef>
              <c:f>Sheet7!$D$4:$D$23</c:f>
              <c:numCache>
                <c:formatCode>General</c:formatCode>
                <c:ptCount val="20"/>
                <c:pt idx="0">
                  <c:v>-8.4688497716419722</c:v>
                </c:pt>
                <c:pt idx="1">
                  <c:v>-9.6961032114407839</c:v>
                </c:pt>
                <c:pt idx="2">
                  <c:v>17.341760631172605</c:v>
                </c:pt>
                <c:pt idx="3">
                  <c:v>-22.856966045077151</c:v>
                </c:pt>
                <c:pt idx="4">
                  <c:v>2.0870699260542445</c:v>
                </c:pt>
                <c:pt idx="5">
                  <c:v>20.969920994295045</c:v>
                </c:pt>
                <c:pt idx="6">
                  <c:v>9.2507666746035397</c:v>
                </c:pt>
                <c:pt idx="7">
                  <c:v>-2.1430478530570376</c:v>
                </c:pt>
                <c:pt idx="8">
                  <c:v>-14.080766614849649</c:v>
                </c:pt>
                <c:pt idx="9">
                  <c:v>22.40145532969396</c:v>
                </c:pt>
                <c:pt idx="10">
                  <c:v>-23.011002362198454</c:v>
                </c:pt>
                <c:pt idx="11">
                  <c:v>23.295491909200393</c:v>
                </c:pt>
                <c:pt idx="12">
                  <c:v>-20.499589200290348</c:v>
                </c:pt>
                <c:pt idx="13">
                  <c:v>-1.6936682708614605</c:v>
                </c:pt>
                <c:pt idx="14">
                  <c:v>19.89164834099634</c:v>
                </c:pt>
                <c:pt idx="15">
                  <c:v>-17.69390117125506</c:v>
                </c:pt>
                <c:pt idx="16">
                  <c:v>-7.865016957587267</c:v>
                </c:pt>
                <c:pt idx="17">
                  <c:v>16.529767747527057</c:v>
                </c:pt>
                <c:pt idx="18">
                  <c:v>7.8414577113245256</c:v>
                </c:pt>
                <c:pt idx="19">
                  <c:v>-15.873571724035369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E-DC46-B671-57C3B5FD9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34207"/>
        <c:axId val="376840959"/>
      </c:scatterChart>
      <c:valAx>
        <c:axId val="37433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40959"/>
        <c:crosses val="autoZero"/>
        <c:crossBetween val="midCat"/>
      </c:valAx>
      <c:valAx>
        <c:axId val="37684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3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00000000-BF49-FB42-9A11-177F66B51689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BF49-FB42-9A11-177F66B51689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4/relationships/chartEx" Target="../charts/chartEx1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300404</xdr:colOff>
      <xdr:row>7</xdr:row>
      <xdr:rowOff>195000</xdr:rowOff>
    </xdr:from>
    <xdr:to>
      <xdr:col>5</xdr:col>
      <xdr:colOff>762399</xdr:colOff>
      <xdr:row>16</xdr:row>
      <xdr:rowOff>85409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128F9D-2CCA-0931-7BAD-9211D2BB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404" y="1630000"/>
          <a:ext cx="3761995" cy="17354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3</xdr:row>
      <xdr:rowOff>168275</xdr:rowOff>
    </xdr:from>
    <xdr:to>
      <xdr:col>10</xdr:col>
      <xdr:colOff>295275</xdr:colOff>
      <xdr:row>17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83F364-4D35-A75E-447D-D821AB320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269875</xdr:colOff>
      <xdr:row>3</xdr:row>
      <xdr:rowOff>3175</xdr:rowOff>
    </xdr:from>
    <xdr:to>
      <xdr:col>10</xdr:col>
      <xdr:colOff>714375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EAA9A-B536-F37A-027A-54F6C8DF4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333009</xdr:colOff>
      <xdr:row>2</xdr:row>
      <xdr:rowOff>88608</xdr:rowOff>
    </xdr:from>
    <xdr:to>
      <xdr:col>8</xdr:col>
      <xdr:colOff>778972</xdr:colOff>
      <xdr:row>15</xdr:row>
      <xdr:rowOff>168904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CF7E4-AE27-8B76-1CFF-59ECF2422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388075</xdr:colOff>
      <xdr:row>1</xdr:row>
      <xdr:rowOff>6827</xdr:rowOff>
    </xdr:from>
    <xdr:to>
      <xdr:col>5</xdr:col>
      <xdr:colOff>607689</xdr:colOff>
      <xdr:row>11</xdr:row>
      <xdr:rowOff>149443</xdr:rowOff>
    </xdr:to>
    <xdr:pic>
      <xdr:nvPicPr>
        <xdr:cNvPr id="2" name="Picture 1" descr="What is a boxplot? How do we interpret it? | by Sharat Ainapur | Medium">
          <a:extLst>
            <a:ext uri="{FF2B5EF4-FFF2-40B4-BE49-F238E27FC236}">
              <a16:creationId xmlns:a16="http://schemas.microsoft.com/office/drawing/2014/main" id="{010A8989-A21C-AF90-2BF0-44DEAF61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075" y="211666"/>
          <a:ext cx="4350528" cy="2191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35505</xdr:colOff>
      <xdr:row>12</xdr:row>
      <xdr:rowOff>14475</xdr:rowOff>
    </xdr:from>
    <xdr:to>
      <xdr:col>10</xdr:col>
      <xdr:colOff>476591</xdr:colOff>
      <xdr:row>25</xdr:row>
      <xdr:rowOff>94772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EE2E3F-5C9D-B575-61B0-F67D4C2586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6419" y="24725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29</xdr:row>
      <xdr:rowOff>0</xdr:rowOff>
    </xdr:from>
    <xdr:to>
      <xdr:col>12</xdr:col>
      <xdr:colOff>337437</xdr:colOff>
      <xdr:row>68</xdr:row>
      <xdr:rowOff>88491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340C39-A9C0-5583-01F4-482A24AB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04731" y="5940323"/>
          <a:ext cx="6946900" cy="807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233841</xdr:colOff>
      <xdr:row>4</xdr:row>
      <xdr:rowOff>49590</xdr:rowOff>
    </xdr:from>
    <xdr:to>
      <xdr:col>10</xdr:col>
      <xdr:colOff>673302</xdr:colOff>
      <xdr:row>17</xdr:row>
      <xdr:rowOff>172155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833AE-A37B-14B4-8005-0A0553689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B2C0-46B3-0F4C-9941-778CF158AB24}">
  <dimension ref="B3:B5"/>
  <sheetViews>
    <sheetView topLeftCell="A6" zoomScale="254" workbookViewId="0">
      <selection activeCell="B8" sqref="B8"/>
    </sheetView>
  </sheetViews>
  <sheetFormatPr baseColWidth="10" defaultRowHeight="16" x14ac:dyDescent="0.2"/>
  <sheetData>
    <row r="3" spans="2:2" x14ac:dyDescent="0.2">
      <c r="B3" t="s">
        <v>21</v>
      </c>
    </row>
    <row r="5" spans="2:2" x14ac:dyDescent="0.2">
      <c r="B5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FF78-39AE-3146-A9D6-F727FE47284A}">
  <dimension ref="B3:J25"/>
  <sheetViews>
    <sheetView topLeftCell="A17" zoomScale="181" workbookViewId="0">
      <selection activeCell="F30" sqref="F30"/>
    </sheetView>
  </sheetViews>
  <sheetFormatPr baseColWidth="10" defaultRowHeight="16" x14ac:dyDescent="0.2"/>
  <sheetData>
    <row r="3" spans="2:7" x14ac:dyDescent="0.2">
      <c r="B3" s="1" t="s">
        <v>0</v>
      </c>
      <c r="C3" s="1" t="s">
        <v>1</v>
      </c>
      <c r="D3" s="1" t="s">
        <v>2</v>
      </c>
      <c r="E3" s="1" t="s">
        <v>3</v>
      </c>
    </row>
    <row r="4" spans="2:7" x14ac:dyDescent="0.2">
      <c r="B4" s="1">
        <v>1201</v>
      </c>
      <c r="C4" s="1" t="s">
        <v>4</v>
      </c>
      <c r="D4" s="1" t="s">
        <v>5</v>
      </c>
      <c r="E4" s="1" t="s">
        <v>6</v>
      </c>
    </row>
    <row r="5" spans="2:7" x14ac:dyDescent="0.2">
      <c r="B5" s="1">
        <v>1202</v>
      </c>
      <c r="C5" s="1" t="s">
        <v>7</v>
      </c>
      <c r="D5" s="1" t="s">
        <v>8</v>
      </c>
      <c r="E5" s="1" t="s">
        <v>9</v>
      </c>
    </row>
    <row r="6" spans="2:7" x14ac:dyDescent="0.2">
      <c r="B6" s="1">
        <v>1203</v>
      </c>
      <c r="C6" s="1" t="s">
        <v>10</v>
      </c>
      <c r="D6" s="1" t="s">
        <v>11</v>
      </c>
      <c r="E6" s="1" t="s">
        <v>12</v>
      </c>
    </row>
    <row r="7" spans="2:7" x14ac:dyDescent="0.2">
      <c r="B7" s="1">
        <v>1204</v>
      </c>
      <c r="C7" s="1" t="s">
        <v>13</v>
      </c>
      <c r="D7" s="1" t="s">
        <v>14</v>
      </c>
      <c r="E7" s="1" t="s">
        <v>15</v>
      </c>
    </row>
    <row r="8" spans="2:7" x14ac:dyDescent="0.2">
      <c r="B8" s="1">
        <v>1205</v>
      </c>
      <c r="C8" s="1" t="s">
        <v>16</v>
      </c>
      <c r="D8" s="1" t="s">
        <v>17</v>
      </c>
      <c r="E8" s="1" t="s">
        <v>18</v>
      </c>
    </row>
    <row r="9" spans="2:7" x14ac:dyDescent="0.2">
      <c r="B9" s="1">
        <v>1206</v>
      </c>
      <c r="C9" s="1" t="s">
        <v>19</v>
      </c>
      <c r="D9" s="1" t="s">
        <v>14</v>
      </c>
      <c r="E9" s="1" t="s">
        <v>20</v>
      </c>
    </row>
    <row r="13" spans="2:7" x14ac:dyDescent="0.2">
      <c r="B13" t="str" cm="1">
        <f t="array" ref="B13:D19">_xlfn.CHOOSECOLS(B3:E9,4,3,1)</f>
        <v>Phn Num</v>
      </c>
      <c r="C13" t="str">
        <v>Course</v>
      </c>
      <c r="D13" t="str">
        <v>Student Id</v>
      </c>
      <c r="G13">
        <f>VLOOKUP("Fake Num 2",_xlfn.CHOOSECOLS(B3:E9,4,3,1),3,0)</f>
        <v>1202</v>
      </c>
    </row>
    <row r="14" spans="2:7" x14ac:dyDescent="0.2">
      <c r="B14" t="str">
        <v>Fake num 1</v>
      </c>
      <c r="C14" t="str">
        <v>Bsc Phy</v>
      </c>
      <c r="D14">
        <v>1201</v>
      </c>
    </row>
    <row r="15" spans="2:7" x14ac:dyDescent="0.2">
      <c r="B15" t="str">
        <v>Fake num 2</v>
      </c>
      <c r="C15" t="str">
        <v>Bsc Chem</v>
      </c>
      <c r="D15">
        <v>1202</v>
      </c>
      <c r="G15" t="str">
        <f ca="1">_xlfn.FORMULATEXT(G13)</f>
        <v>=VLOOKUP("Fake Num 2",CHOOSECOLS(B3:E9,4,3,1),3,0)</v>
      </c>
    </row>
    <row r="16" spans="2:7" x14ac:dyDescent="0.2">
      <c r="B16" t="str">
        <v>Fake num 3</v>
      </c>
      <c r="C16" t="str">
        <v>Ba History</v>
      </c>
      <c r="D16">
        <v>1203</v>
      </c>
    </row>
    <row r="17" spans="2:10" x14ac:dyDescent="0.2">
      <c r="B17" t="str">
        <v>Fake num 4</v>
      </c>
      <c r="C17" t="str">
        <v>MBA HR</v>
      </c>
      <c r="D17">
        <v>1204</v>
      </c>
    </row>
    <row r="18" spans="2:10" x14ac:dyDescent="0.2">
      <c r="B18" t="str">
        <v>Fake num 5</v>
      </c>
      <c r="C18" t="str">
        <v>Ba Soci</v>
      </c>
      <c r="D18">
        <v>1205</v>
      </c>
    </row>
    <row r="19" spans="2:10" x14ac:dyDescent="0.2">
      <c r="B19" t="str">
        <v>Fake num 6</v>
      </c>
      <c r="C19" t="str">
        <v>MBA HR</v>
      </c>
      <c r="D19">
        <v>1206</v>
      </c>
      <c r="G19" cm="1">
        <f t="array" ref="G19:J25">_xlfn.CHOOSEROWS(B3:E9,7,3,1,2,4,5,1)</f>
        <v>1206</v>
      </c>
      <c r="H19" t="str">
        <v>Sonam</v>
      </c>
      <c r="I19" t="str">
        <v>MBA HR</v>
      </c>
      <c r="J19" t="str">
        <v>Fake num 6</v>
      </c>
    </row>
    <row r="20" spans="2:10" x14ac:dyDescent="0.2">
      <c r="G20">
        <v>1202</v>
      </c>
      <c r="H20" t="str">
        <v>Shyaam</v>
      </c>
      <c r="I20" t="str">
        <v>Bsc Chem</v>
      </c>
      <c r="J20" t="str">
        <v>Fake num 2</v>
      </c>
    </row>
    <row r="21" spans="2:10" x14ac:dyDescent="0.2">
      <c r="G21" t="str">
        <v>Student Id</v>
      </c>
      <c r="H21" t="str">
        <v>Name</v>
      </c>
      <c r="I21" t="str">
        <v>Course</v>
      </c>
      <c r="J21" t="str">
        <v>Phn Num</v>
      </c>
    </row>
    <row r="22" spans="2:10" x14ac:dyDescent="0.2">
      <c r="G22">
        <v>1201</v>
      </c>
      <c r="H22" t="str">
        <v>Jennifer</v>
      </c>
      <c r="I22" t="str">
        <v>Bsc Phy</v>
      </c>
      <c r="J22" t="str">
        <v>Fake num 1</v>
      </c>
    </row>
    <row r="23" spans="2:10" x14ac:dyDescent="0.2">
      <c r="G23">
        <v>1203</v>
      </c>
      <c r="H23" t="str">
        <v>Meena</v>
      </c>
      <c r="I23" t="str">
        <v>Ba History</v>
      </c>
      <c r="J23" t="str">
        <v>Fake num 3</v>
      </c>
    </row>
    <row r="24" spans="2:10" x14ac:dyDescent="0.2">
      <c r="G24">
        <v>1204</v>
      </c>
      <c r="H24" t="str">
        <v>Arjun</v>
      </c>
      <c r="I24" t="str">
        <v>MBA HR</v>
      </c>
      <c r="J24" t="str">
        <v>Fake num 4</v>
      </c>
    </row>
    <row r="25" spans="2:10" x14ac:dyDescent="0.2">
      <c r="G25" t="str">
        <v>Student Id</v>
      </c>
      <c r="H25" t="str">
        <v>Name</v>
      </c>
      <c r="I25" t="str">
        <v>Course</v>
      </c>
      <c r="J25" t="str">
        <v>Phn Num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4741-8845-9246-932B-9DF44F2AEE84}">
  <dimension ref="B3:D15"/>
  <sheetViews>
    <sheetView zoomScale="200" workbookViewId="0">
      <selection activeCell="D10" sqref="B3:D15"/>
    </sheetView>
  </sheetViews>
  <sheetFormatPr baseColWidth="10" defaultRowHeight="16" x14ac:dyDescent="0.2"/>
  <sheetData>
    <row r="3" spans="2:4" x14ac:dyDescent="0.2">
      <c r="B3" s="2"/>
      <c r="C3" s="2" t="s">
        <v>23</v>
      </c>
      <c r="D3" s="2" t="s">
        <v>24</v>
      </c>
    </row>
    <row r="4" spans="2:4" x14ac:dyDescent="0.2">
      <c r="B4" s="2" t="s">
        <v>25</v>
      </c>
      <c r="C4" s="2">
        <v>309</v>
      </c>
      <c r="D4" s="2">
        <v>428</v>
      </c>
    </row>
    <row r="5" spans="2:4" x14ac:dyDescent="0.2">
      <c r="B5" s="2" t="s">
        <v>26</v>
      </c>
      <c r="C5" s="2">
        <v>371</v>
      </c>
      <c r="D5" s="2">
        <v>171</v>
      </c>
    </row>
    <row r="6" spans="2:4" x14ac:dyDescent="0.2">
      <c r="B6" s="2" t="s">
        <v>27</v>
      </c>
      <c r="C6" s="2">
        <v>187</v>
      </c>
      <c r="D6" s="2">
        <v>331</v>
      </c>
    </row>
    <row r="7" spans="2:4" x14ac:dyDescent="0.2">
      <c r="B7" s="2" t="s">
        <v>28</v>
      </c>
      <c r="C7" s="2">
        <v>154</v>
      </c>
      <c r="D7" s="2">
        <v>358</v>
      </c>
    </row>
    <row r="8" spans="2:4" x14ac:dyDescent="0.2">
      <c r="B8" s="2" t="s">
        <v>29</v>
      </c>
      <c r="C8" s="2">
        <v>455</v>
      </c>
      <c r="D8" s="2">
        <v>123</v>
      </c>
    </row>
    <row r="9" spans="2:4" x14ac:dyDescent="0.2">
      <c r="B9" s="2" t="s">
        <v>30</v>
      </c>
      <c r="C9" s="2">
        <v>450</v>
      </c>
      <c r="D9" s="2">
        <v>231</v>
      </c>
    </row>
    <row r="10" spans="2:4" x14ac:dyDescent="0.2">
      <c r="B10" s="2" t="s">
        <v>31</v>
      </c>
      <c r="C10" s="2">
        <v>206</v>
      </c>
      <c r="D10" s="2">
        <v>229</v>
      </c>
    </row>
    <row r="11" spans="2:4" x14ac:dyDescent="0.2">
      <c r="B11" s="2" t="s">
        <v>32</v>
      </c>
      <c r="C11" s="2">
        <v>254</v>
      </c>
      <c r="D11" s="2">
        <v>122</v>
      </c>
    </row>
    <row r="12" spans="2:4" x14ac:dyDescent="0.2">
      <c r="B12" s="2" t="s">
        <v>33</v>
      </c>
      <c r="C12" s="2">
        <v>416</v>
      </c>
      <c r="D12" s="2">
        <v>231</v>
      </c>
    </row>
    <row r="13" spans="2:4" x14ac:dyDescent="0.2">
      <c r="B13" s="2" t="s">
        <v>34</v>
      </c>
      <c r="C13" s="2">
        <v>446</v>
      </c>
      <c r="D13" s="2">
        <v>297</v>
      </c>
    </row>
    <row r="14" spans="2:4" x14ac:dyDescent="0.2">
      <c r="B14" s="2" t="s">
        <v>35</v>
      </c>
      <c r="C14" s="2">
        <v>411</v>
      </c>
      <c r="D14" s="2">
        <v>434</v>
      </c>
    </row>
    <row r="15" spans="2:4" x14ac:dyDescent="0.2">
      <c r="B15" s="2" t="s">
        <v>36</v>
      </c>
      <c r="C15" s="2">
        <v>154</v>
      </c>
      <c r="D15" s="2">
        <v>232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9C89-9FD4-0241-9FD6-6437F60F37EA}">
  <dimension ref="C4:E16"/>
  <sheetViews>
    <sheetView topLeftCell="B1" zoomScale="200" workbookViewId="0">
      <selection activeCell="C10" sqref="C10"/>
    </sheetView>
  </sheetViews>
  <sheetFormatPr baseColWidth="10" defaultRowHeight="16" x14ac:dyDescent="0.2"/>
  <sheetData>
    <row r="4" spans="3:5" x14ac:dyDescent="0.2">
      <c r="C4" s="2"/>
      <c r="D4" s="2" t="s">
        <v>23</v>
      </c>
      <c r="E4" s="2" t="s">
        <v>24</v>
      </c>
    </row>
    <row r="5" spans="3:5" x14ac:dyDescent="0.2">
      <c r="C5" s="2" t="s">
        <v>25</v>
      </c>
      <c r="D5" s="2">
        <v>309</v>
      </c>
      <c r="E5" s="2">
        <v>428</v>
      </c>
    </row>
    <row r="6" spans="3:5" x14ac:dyDescent="0.2">
      <c r="C6" s="2" t="s">
        <v>26</v>
      </c>
      <c r="D6" s="2">
        <v>371</v>
      </c>
      <c r="E6" s="2">
        <v>171</v>
      </c>
    </row>
    <row r="7" spans="3:5" x14ac:dyDescent="0.2">
      <c r="C7" s="2" t="s">
        <v>27</v>
      </c>
      <c r="D7" s="2">
        <v>187</v>
      </c>
      <c r="E7" s="2">
        <v>331</v>
      </c>
    </row>
    <row r="8" spans="3:5" x14ac:dyDescent="0.2">
      <c r="C8" s="2" t="s">
        <v>28</v>
      </c>
      <c r="D8" s="2">
        <v>154</v>
      </c>
      <c r="E8" s="2">
        <v>358</v>
      </c>
    </row>
    <row r="9" spans="3:5" x14ac:dyDescent="0.2">
      <c r="C9" s="2" t="s">
        <v>29</v>
      </c>
      <c r="D9" s="2">
        <v>455</v>
      </c>
      <c r="E9" s="2">
        <v>123</v>
      </c>
    </row>
    <row r="10" spans="3:5" x14ac:dyDescent="0.2">
      <c r="C10" s="2" t="s">
        <v>30</v>
      </c>
      <c r="D10" s="2">
        <v>450</v>
      </c>
      <c r="E10" s="2">
        <v>231</v>
      </c>
    </row>
    <row r="11" spans="3:5" x14ac:dyDescent="0.2">
      <c r="C11" s="2" t="s">
        <v>31</v>
      </c>
      <c r="D11" s="2">
        <v>206</v>
      </c>
      <c r="E11" s="2">
        <v>229</v>
      </c>
    </row>
    <row r="12" spans="3:5" x14ac:dyDescent="0.2">
      <c r="C12" s="2" t="s">
        <v>32</v>
      </c>
      <c r="D12" s="2">
        <v>254</v>
      </c>
      <c r="E12" s="2">
        <v>122</v>
      </c>
    </row>
    <row r="13" spans="3:5" x14ac:dyDescent="0.2">
      <c r="C13" s="2" t="s">
        <v>33</v>
      </c>
      <c r="D13" s="2">
        <v>416</v>
      </c>
      <c r="E13" s="2">
        <v>231</v>
      </c>
    </row>
    <row r="14" spans="3:5" x14ac:dyDescent="0.2">
      <c r="C14" s="2" t="s">
        <v>34</v>
      </c>
      <c r="D14" s="2">
        <v>446</v>
      </c>
      <c r="E14" s="2">
        <v>297</v>
      </c>
    </row>
    <row r="15" spans="3:5" x14ac:dyDescent="0.2">
      <c r="C15" s="2" t="s">
        <v>35</v>
      </c>
      <c r="D15" s="2">
        <v>411</v>
      </c>
      <c r="E15" s="2">
        <v>434</v>
      </c>
    </row>
    <row r="16" spans="3:5" x14ac:dyDescent="0.2">
      <c r="C16" s="2" t="s">
        <v>36</v>
      </c>
      <c r="D16" s="2">
        <v>154</v>
      </c>
      <c r="E16" s="2">
        <v>232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3AFC-7F3E-D74C-8BFA-AA2FDF3163A2}">
  <dimension ref="B4:C10"/>
  <sheetViews>
    <sheetView zoomScale="217" workbookViewId="0">
      <selection activeCell="C9" sqref="C9"/>
    </sheetView>
  </sheetViews>
  <sheetFormatPr baseColWidth="10" defaultRowHeight="16" x14ac:dyDescent="0.2"/>
  <sheetData>
    <row r="4" spans="2:3" x14ac:dyDescent="0.2">
      <c r="C4" t="s">
        <v>41</v>
      </c>
    </row>
    <row r="5" spans="2:3" x14ac:dyDescent="0.2">
      <c r="B5" t="s">
        <v>37</v>
      </c>
      <c r="C5">
        <v>400</v>
      </c>
    </row>
    <row r="6" spans="2:3" x14ac:dyDescent="0.2">
      <c r="B6" t="s">
        <v>38</v>
      </c>
      <c r="C6">
        <v>260</v>
      </c>
    </row>
    <row r="7" spans="2:3" x14ac:dyDescent="0.2">
      <c r="B7" t="s">
        <v>39</v>
      </c>
      <c r="C7">
        <v>300</v>
      </c>
    </row>
    <row r="8" spans="2:3" x14ac:dyDescent="0.2">
      <c r="B8" t="s">
        <v>40</v>
      </c>
      <c r="C8">
        <v>640</v>
      </c>
    </row>
    <row r="10" spans="2:3" x14ac:dyDescent="0.2">
      <c r="C10">
        <f>SUM(C5:C8)</f>
        <v>1600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F0D4-79E4-4A45-9069-60512BEB825E}">
  <dimension ref="B16:C35"/>
  <sheetViews>
    <sheetView topLeftCell="A18" zoomScale="186" workbookViewId="0">
      <selection activeCell="B19" sqref="B19"/>
    </sheetView>
  </sheetViews>
  <sheetFormatPr baseColWidth="10" defaultRowHeight="16" x14ac:dyDescent="0.2"/>
  <sheetData>
    <row r="16" spans="2:3" x14ac:dyDescent="0.2">
      <c r="B16" s="2">
        <v>21</v>
      </c>
      <c r="C16" s="2">
        <v>7</v>
      </c>
    </row>
    <row r="17" spans="2:3" x14ac:dyDescent="0.2">
      <c r="B17" s="2">
        <v>27</v>
      </c>
      <c r="C17" s="2">
        <v>24</v>
      </c>
    </row>
    <row r="18" spans="2:3" x14ac:dyDescent="0.2">
      <c r="B18" s="2">
        <v>-60</v>
      </c>
      <c r="C18" s="2">
        <v>8</v>
      </c>
    </row>
    <row r="19" spans="2:3" x14ac:dyDescent="0.2">
      <c r="B19" s="2">
        <v>-9</v>
      </c>
      <c r="C19" s="2">
        <v>8</v>
      </c>
    </row>
    <row r="20" spans="2:3" x14ac:dyDescent="0.2">
      <c r="B20" s="2">
        <v>-8</v>
      </c>
      <c r="C20" s="2">
        <v>70</v>
      </c>
    </row>
    <row r="21" spans="2:3" x14ac:dyDescent="0.2">
      <c r="B21" s="2">
        <v>-1</v>
      </c>
      <c r="C21" s="2">
        <v>-8</v>
      </c>
    </row>
    <row r="22" spans="2:3" x14ac:dyDescent="0.2">
      <c r="B22" s="2">
        <v>-2</v>
      </c>
      <c r="C22" s="2">
        <v>19</v>
      </c>
    </row>
    <row r="23" spans="2:3" x14ac:dyDescent="0.2">
      <c r="B23" s="2">
        <v>12</v>
      </c>
      <c r="C23" s="2">
        <v>16</v>
      </c>
    </row>
    <row r="24" spans="2:3" x14ac:dyDescent="0.2">
      <c r="B24" s="2">
        <v>14</v>
      </c>
      <c r="C24" s="2">
        <v>-8</v>
      </c>
    </row>
    <row r="25" spans="2:3" x14ac:dyDescent="0.2">
      <c r="B25" s="2">
        <v>-5</v>
      </c>
      <c r="C25" s="2">
        <v>15</v>
      </c>
    </row>
    <row r="26" spans="2:3" x14ac:dyDescent="0.2">
      <c r="B26" s="2">
        <v>4</v>
      </c>
      <c r="C26" s="2">
        <v>9</v>
      </c>
    </row>
    <row r="27" spans="2:3" x14ac:dyDescent="0.2">
      <c r="B27" s="2">
        <v>10</v>
      </c>
      <c r="C27" s="2">
        <v>-7</v>
      </c>
    </row>
    <row r="28" spans="2:3" x14ac:dyDescent="0.2">
      <c r="B28" s="2">
        <v>-1</v>
      </c>
      <c r="C28" s="2">
        <v>-2</v>
      </c>
    </row>
    <row r="29" spans="2:3" x14ac:dyDescent="0.2">
      <c r="B29" s="2">
        <v>-6</v>
      </c>
      <c r="C29" s="2">
        <v>30</v>
      </c>
    </row>
    <row r="30" spans="2:3" x14ac:dyDescent="0.2">
      <c r="B30" s="2">
        <v>15</v>
      </c>
      <c r="C30" s="2">
        <v>30</v>
      </c>
    </row>
    <row r="31" spans="2:3" x14ac:dyDescent="0.2">
      <c r="B31" s="2">
        <v>-5</v>
      </c>
      <c r="C31" s="2">
        <v>-6</v>
      </c>
    </row>
    <row r="32" spans="2:3" x14ac:dyDescent="0.2">
      <c r="B32" s="2">
        <v>10</v>
      </c>
      <c r="C32" s="2">
        <v>19</v>
      </c>
    </row>
    <row r="33" spans="2:3" x14ac:dyDescent="0.2">
      <c r="B33" s="2">
        <v>30</v>
      </c>
      <c r="C33" s="2">
        <v>29</v>
      </c>
    </row>
    <row r="34" spans="2:3" x14ac:dyDescent="0.2">
      <c r="B34" s="2">
        <v>0</v>
      </c>
      <c r="C34" s="2">
        <v>15</v>
      </c>
    </row>
    <row r="35" spans="2:3" x14ac:dyDescent="0.2">
      <c r="B35" s="2">
        <v>-8</v>
      </c>
      <c r="C35" s="2">
        <v>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C70E-B238-D54E-9638-2E2B0A0F7EA7}">
  <dimension ref="B2:F37"/>
  <sheetViews>
    <sheetView tabSelected="1" topLeftCell="C1" zoomScale="189" workbookViewId="0">
      <selection activeCell="E35" sqref="E35:G39"/>
    </sheetView>
  </sheetViews>
  <sheetFormatPr baseColWidth="10" defaultRowHeight="16" x14ac:dyDescent="0.2"/>
  <sheetData>
    <row r="2" spans="2:4" x14ac:dyDescent="0.2">
      <c r="D2" t="s">
        <v>45</v>
      </c>
    </row>
    <row r="3" spans="2:4" x14ac:dyDescent="0.2">
      <c r="B3" t="s">
        <v>42</v>
      </c>
      <c r="C3" t="s">
        <v>43</v>
      </c>
      <c r="D3" t="s">
        <v>44</v>
      </c>
    </row>
    <row r="4" spans="2:4" x14ac:dyDescent="0.2">
      <c r="B4">
        <v>5</v>
      </c>
      <c r="C4">
        <v>-0.46884977164197228</v>
      </c>
      <c r="D4">
        <f>B4*-3+7+C4</f>
        <v>-8.4688497716419722</v>
      </c>
    </row>
    <row r="5" spans="2:4" x14ac:dyDescent="0.2">
      <c r="B5">
        <v>6</v>
      </c>
      <c r="C5">
        <v>1.3038967885592156</v>
      </c>
      <c r="D5">
        <f t="shared" ref="D5:D23" si="0">B5*-3+7+C5</f>
        <v>-9.6961032114407839</v>
      </c>
    </row>
    <row r="6" spans="2:4" x14ac:dyDescent="0.2">
      <c r="B6">
        <v>-3</v>
      </c>
      <c r="C6">
        <v>1.3417606311726049</v>
      </c>
      <c r="D6">
        <f t="shared" si="0"/>
        <v>17.341760631172605</v>
      </c>
    </row>
    <row r="7" spans="2:4" x14ac:dyDescent="0.2">
      <c r="B7">
        <v>10</v>
      </c>
      <c r="C7">
        <v>0.14303395492285037</v>
      </c>
      <c r="D7">
        <f t="shared" si="0"/>
        <v>-22.856966045077151</v>
      </c>
    </row>
    <row r="8" spans="2:4" x14ac:dyDescent="0.2">
      <c r="B8">
        <v>1</v>
      </c>
      <c r="C8">
        <v>-1.9129300739457555</v>
      </c>
      <c r="D8">
        <f t="shared" si="0"/>
        <v>2.0870699260542445</v>
      </c>
    </row>
    <row r="9" spans="2:4" x14ac:dyDescent="0.2">
      <c r="B9">
        <v>-5</v>
      </c>
      <c r="C9">
        <v>-1.0300790057049545</v>
      </c>
      <c r="D9">
        <f t="shared" si="0"/>
        <v>20.969920994295045</v>
      </c>
    </row>
    <row r="10" spans="2:4" x14ac:dyDescent="0.2">
      <c r="B10">
        <v>-1</v>
      </c>
      <c r="C10">
        <v>-0.74923332539645993</v>
      </c>
      <c r="D10">
        <f t="shared" si="0"/>
        <v>9.2507666746035397</v>
      </c>
    </row>
    <row r="11" spans="2:4" x14ac:dyDescent="0.2">
      <c r="B11">
        <v>3</v>
      </c>
      <c r="C11">
        <v>-0.14304785305703782</v>
      </c>
      <c r="D11">
        <f t="shared" si="0"/>
        <v>-2.1430478530570376</v>
      </c>
    </row>
    <row r="12" spans="2:4" x14ac:dyDescent="0.2">
      <c r="B12">
        <v>7</v>
      </c>
      <c r="C12">
        <v>-8.0766614849649102E-2</v>
      </c>
      <c r="D12">
        <f t="shared" si="0"/>
        <v>-14.080766614849649</v>
      </c>
    </row>
    <row r="13" spans="2:4" x14ac:dyDescent="0.2">
      <c r="B13">
        <v>-5</v>
      </c>
      <c r="C13">
        <v>0.40145532969395964</v>
      </c>
      <c r="D13">
        <f t="shared" si="0"/>
        <v>22.40145532969396</v>
      </c>
    </row>
    <row r="14" spans="2:4" x14ac:dyDescent="0.2">
      <c r="B14">
        <v>10</v>
      </c>
      <c r="C14">
        <v>-1.1002362198453916E-2</v>
      </c>
      <c r="D14">
        <f t="shared" si="0"/>
        <v>-23.011002362198454</v>
      </c>
    </row>
    <row r="15" spans="2:4" x14ac:dyDescent="0.2">
      <c r="B15">
        <v>-5</v>
      </c>
      <c r="C15">
        <v>1.2954919092003916</v>
      </c>
      <c r="D15">
        <f t="shared" si="0"/>
        <v>23.295491909200393</v>
      </c>
    </row>
    <row r="16" spans="2:4" x14ac:dyDescent="0.2">
      <c r="B16">
        <v>9</v>
      </c>
      <c r="C16">
        <v>-0.4995892002903492</v>
      </c>
      <c r="D16">
        <f t="shared" si="0"/>
        <v>-20.499589200290348</v>
      </c>
    </row>
    <row r="17" spans="2:6" x14ac:dyDescent="0.2">
      <c r="B17">
        <v>3</v>
      </c>
      <c r="C17">
        <v>0.3063317291385394</v>
      </c>
      <c r="D17">
        <f t="shared" si="0"/>
        <v>-1.6936682708614605</v>
      </c>
    </row>
    <row r="18" spans="2:6" x14ac:dyDescent="0.2">
      <c r="B18">
        <v>-4</v>
      </c>
      <c r="C18">
        <v>0.89164834099634149</v>
      </c>
      <c r="D18">
        <f t="shared" si="0"/>
        <v>19.89164834099634</v>
      </c>
    </row>
    <row r="19" spans="2:6" x14ac:dyDescent="0.2">
      <c r="B19">
        <v>8</v>
      </c>
      <c r="C19">
        <v>-0.69390117125505901</v>
      </c>
      <c r="D19">
        <f t="shared" si="0"/>
        <v>-17.69390117125506</v>
      </c>
    </row>
    <row r="20" spans="2:6" x14ac:dyDescent="0.2">
      <c r="B20">
        <v>5</v>
      </c>
      <c r="C20">
        <v>0.13498304241273298</v>
      </c>
      <c r="D20">
        <f t="shared" si="0"/>
        <v>-7.865016957587267</v>
      </c>
    </row>
    <row r="21" spans="2:6" x14ac:dyDescent="0.2">
      <c r="B21">
        <v>-3</v>
      </c>
      <c r="C21">
        <v>0.52976774752705813</v>
      </c>
      <c r="D21">
        <f t="shared" si="0"/>
        <v>16.529767747527057</v>
      </c>
    </row>
    <row r="22" spans="2:6" x14ac:dyDescent="0.2">
      <c r="B22">
        <v>0</v>
      </c>
      <c r="C22">
        <v>0.84145771132452585</v>
      </c>
      <c r="D22">
        <f t="shared" si="0"/>
        <v>7.8414577113245256</v>
      </c>
      <c r="F22" t="s">
        <v>46</v>
      </c>
    </row>
    <row r="23" spans="2:6" x14ac:dyDescent="0.2">
      <c r="B23">
        <v>7</v>
      </c>
      <c r="C23">
        <v>-1.8735717240353693</v>
      </c>
      <c r="D23">
        <f t="shared" si="0"/>
        <v>-15.873571724035369</v>
      </c>
    </row>
    <row r="25" spans="2:6" x14ac:dyDescent="0.2">
      <c r="F25" t="s">
        <v>47</v>
      </c>
    </row>
    <row r="27" spans="2:6" x14ac:dyDescent="0.2">
      <c r="F27" t="s">
        <v>48</v>
      </c>
    </row>
    <row r="29" spans="2:6" x14ac:dyDescent="0.2">
      <c r="F29" t="str">
        <f>"-1 ==&gt; VAR1 increases then VAR2 Decreases"</f>
        <v>-1 ==&gt; VAR1 increases then VAR2 Decreases</v>
      </c>
    </row>
    <row r="31" spans="2:6" x14ac:dyDescent="0.2">
      <c r="F31" t="str">
        <f>"+1 ==&gt; VAR1 increases then VAR2 increases"</f>
        <v>+1 ==&gt; VAR1 increases then VAR2 increases</v>
      </c>
    </row>
    <row r="33" spans="6:6" x14ac:dyDescent="0.2">
      <c r="F33" t="str">
        <f>"0 ==&gt; NO relation b/w var"</f>
        <v>0 ==&gt; NO relation b/w var</v>
      </c>
    </row>
    <row r="37" spans="6:6" x14ac:dyDescent="0.2">
      <c r="F37">
        <f>CORREL(B4:B23,D4:D23)</f>
        <v>-0.99847214366323045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agenda</vt:lpstr>
      <vt:lpstr>Sheet2</vt:lpstr>
      <vt:lpstr>Line</vt:lpstr>
      <vt:lpstr>bar</vt:lpstr>
      <vt:lpstr>PIE</vt:lpstr>
      <vt:lpstr>boxplot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2026-07-07T15:37:05Z</dcterms:created>
  <dcterms:modified xsi:type="dcterms:W3CDTF">2026-07-07T17:08:46Z</dcterms:modified>
</cp:coreProperties>
</file>