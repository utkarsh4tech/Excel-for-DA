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hidePivotFieldList="1" defaultThemeVersion="202300"/>
  <mc:AlternateContent xmlns:mc="http://schemas.openxmlformats.org/markup-compatibility/2006">
    <mc:Choice Requires="x15">
      <x15ac:absPath xmlns:x15ac="http://schemas.microsoft.com/office/spreadsheetml/2010/11/ac" url="/Users/utkarsh/Downloads/Accio_excel/Excel-for-DA/"/>
    </mc:Choice>
  </mc:AlternateContent>
  <xr:revisionPtr revIDLastSave="0" documentId="13_ncr:1_{33BC118D-4D6A-BF4A-91A1-08ADB731852E}" xr6:coauthVersionLast="47" xr6:coauthVersionMax="47" xr10:uidLastSave="{00000000-0000-0000-0000-000000000000}"/>
  <bookViews>
    <workbookView xWindow="-20" yWindow="600" windowWidth="28800" windowHeight="17400" activeTab="4" xr2:uid="{1B987D1A-8571-0C47-B909-134FE55C55E7}"/>
  </bookViews>
  <sheets>
    <sheet name="agenda" sheetId="1" r:id="rId1"/>
    <sheet name="data" sheetId="2" r:id="rId2"/>
    <sheet name="Sheet3" sheetId="3" r:id="rId3"/>
    <sheet name="employee_data" sheetId="4" r:id="rId4"/>
    <sheet name="Sheet4" sheetId="6" r:id="rId5"/>
  </sheets>
  <definedNames>
    <definedName name="Slicer_job_via">#N/A</definedName>
  </definedNames>
  <calcPr calcId="181029"/>
  <pivotCaches>
    <pivotCache cacheId="2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01" i="4" l="1"/>
  <c r="H200" i="4"/>
  <c r="H199" i="4"/>
  <c r="H198" i="4"/>
  <c r="H197" i="4"/>
  <c r="H196" i="4"/>
  <c r="H195" i="4"/>
  <c r="H194" i="4"/>
  <c r="H193" i="4"/>
  <c r="H192" i="4"/>
  <c r="H191" i="4"/>
  <c r="H190" i="4"/>
  <c r="H189" i="4"/>
  <c r="H188" i="4"/>
  <c r="H187" i="4"/>
  <c r="H186" i="4"/>
  <c r="H185" i="4"/>
  <c r="H184" i="4"/>
  <c r="H183" i="4"/>
  <c r="H182" i="4"/>
  <c r="H181" i="4"/>
  <c r="H180" i="4"/>
  <c r="H179" i="4"/>
  <c r="H178" i="4"/>
  <c r="H177" i="4"/>
  <c r="H176" i="4"/>
  <c r="H175" i="4"/>
  <c r="H174" i="4"/>
  <c r="H173" i="4"/>
  <c r="H172" i="4"/>
  <c r="H171" i="4"/>
  <c r="H170" i="4"/>
  <c r="H169" i="4"/>
  <c r="H168" i="4"/>
  <c r="H167" i="4"/>
  <c r="H166" i="4"/>
  <c r="H165" i="4"/>
  <c r="H164" i="4"/>
  <c r="H163" i="4"/>
  <c r="H162" i="4"/>
  <c r="H161" i="4"/>
  <c r="H160" i="4"/>
  <c r="H159" i="4"/>
  <c r="H158" i="4"/>
  <c r="H157" i="4"/>
  <c r="H156" i="4"/>
  <c r="H155" i="4"/>
  <c r="H154" i="4"/>
  <c r="H153" i="4"/>
  <c r="H152" i="4"/>
  <c r="H151" i="4"/>
  <c r="H150" i="4"/>
  <c r="H149" i="4"/>
  <c r="H148" i="4"/>
  <c r="H147" i="4"/>
  <c r="H146" i="4"/>
  <c r="H145" i="4"/>
  <c r="H144" i="4"/>
  <c r="H143" i="4"/>
  <c r="H142" i="4"/>
  <c r="H141" i="4"/>
  <c r="H140" i="4"/>
  <c r="H139" i="4"/>
  <c r="H138" i="4"/>
  <c r="H137" i="4"/>
  <c r="H136" i="4"/>
  <c r="H135" i="4"/>
  <c r="H134" i="4"/>
  <c r="H133" i="4"/>
  <c r="H132" i="4"/>
  <c r="H131" i="4"/>
  <c r="H130" i="4"/>
  <c r="H129" i="4"/>
  <c r="H128" i="4"/>
  <c r="H127" i="4"/>
  <c r="H126" i="4"/>
  <c r="H125" i="4"/>
  <c r="H124" i="4"/>
  <c r="H123" i="4"/>
  <c r="H122" i="4"/>
  <c r="H121" i="4"/>
  <c r="H120" i="4"/>
  <c r="H119" i="4"/>
  <c r="H118" i="4"/>
  <c r="H117" i="4"/>
  <c r="H116" i="4"/>
  <c r="H115" i="4"/>
  <c r="H114" i="4"/>
  <c r="H113" i="4"/>
  <c r="H112" i="4"/>
  <c r="H111" i="4"/>
  <c r="H110" i="4"/>
  <c r="H109" i="4"/>
  <c r="H108" i="4"/>
  <c r="H107" i="4"/>
  <c r="H106" i="4"/>
  <c r="H105" i="4"/>
  <c r="H104" i="4"/>
  <c r="H103" i="4"/>
  <c r="H102" i="4"/>
  <c r="H101" i="4"/>
  <c r="H100" i="4"/>
  <c r="H99" i="4"/>
  <c r="H98" i="4"/>
  <c r="H97" i="4"/>
  <c r="H96" i="4"/>
  <c r="H95" i="4"/>
  <c r="H94" i="4"/>
  <c r="H93" i="4"/>
  <c r="H92" i="4"/>
  <c r="H91" i="4"/>
  <c r="H90" i="4"/>
  <c r="H89" i="4"/>
  <c r="H88" i="4"/>
  <c r="H87" i="4"/>
  <c r="H86" i="4"/>
  <c r="H85" i="4"/>
  <c r="H84" i="4"/>
  <c r="H83" i="4"/>
  <c r="H82" i="4"/>
  <c r="H81" i="4"/>
  <c r="H80" i="4"/>
  <c r="H79" i="4"/>
  <c r="H78" i="4"/>
  <c r="H77" i="4"/>
  <c r="H76" i="4"/>
  <c r="H75" i="4"/>
  <c r="H74" i="4"/>
  <c r="H73" i="4"/>
  <c r="H72" i="4"/>
  <c r="H71" i="4"/>
  <c r="H70" i="4"/>
  <c r="H69" i="4"/>
  <c r="H68" i="4"/>
  <c r="H67" i="4"/>
  <c r="H66" i="4"/>
  <c r="H65" i="4"/>
  <c r="H64" i="4"/>
  <c r="H63" i="4"/>
  <c r="H62" i="4"/>
  <c r="H61" i="4"/>
  <c r="H60" i="4"/>
  <c r="H59" i="4"/>
  <c r="H58" i="4"/>
  <c r="H57" i="4"/>
  <c r="H56" i="4"/>
  <c r="H55" i="4"/>
  <c r="H54" i="4"/>
  <c r="H53" i="4"/>
  <c r="H52" i="4"/>
  <c r="H51" i="4"/>
  <c r="H50" i="4"/>
  <c r="H49" i="4"/>
  <c r="H48" i="4"/>
  <c r="H47" i="4"/>
  <c r="H46" i="4"/>
  <c r="H45" i="4"/>
  <c r="H44" i="4"/>
  <c r="H43" i="4"/>
  <c r="H42" i="4"/>
  <c r="H41" i="4"/>
  <c r="H40" i="4"/>
  <c r="H39" i="4"/>
  <c r="H38" i="4"/>
  <c r="H37" i="4"/>
  <c r="H36" i="4"/>
  <c r="H35" i="4"/>
  <c r="H34" i="4"/>
  <c r="H33" i="4"/>
  <c r="H32" i="4"/>
  <c r="H31" i="4"/>
  <c r="H30" i="4"/>
  <c r="H29" i="4"/>
  <c r="H28" i="4"/>
  <c r="H27" i="4"/>
  <c r="H26" i="4"/>
  <c r="H25" i="4"/>
  <c r="H24" i="4"/>
  <c r="H23" i="4"/>
  <c r="H22" i="4"/>
  <c r="H21" i="4"/>
  <c r="H20" i="4"/>
  <c r="H19" i="4"/>
  <c r="H18" i="4"/>
  <c r="H17" i="4"/>
  <c r="H16" i="4"/>
  <c r="H15" i="4"/>
  <c r="H14" i="4"/>
  <c r="H13" i="4"/>
  <c r="H12" i="4"/>
  <c r="H11" i="4"/>
  <c r="H10" i="4"/>
  <c r="H9" i="4"/>
  <c r="H8" i="4"/>
  <c r="H7" i="4"/>
  <c r="H6" i="4"/>
  <c r="H5" i="4"/>
  <c r="H4" i="4"/>
  <c r="H3" i="4"/>
  <c r="H2" i="4"/>
</calcChain>
</file>

<file path=xl/sharedStrings.xml><?xml version="1.0" encoding="utf-8"?>
<sst xmlns="http://schemas.openxmlformats.org/spreadsheetml/2006/main" count="2222" uniqueCount="693">
  <si>
    <t>pivot tables</t>
  </si>
  <si>
    <t>Customer Name</t>
  </si>
  <si>
    <t>Customer Country</t>
  </si>
  <si>
    <t>Product Sold</t>
  </si>
  <si>
    <t>Sales Channel</t>
  </si>
  <si>
    <t>Order Date</t>
  </si>
  <si>
    <t>Quantity</t>
  </si>
  <si>
    <t>Cost</t>
  </si>
  <si>
    <t>Price</t>
  </si>
  <si>
    <t>Total Cost</t>
  </si>
  <si>
    <t>Total</t>
  </si>
  <si>
    <t>Kathy Schmidt</t>
  </si>
  <si>
    <t>France</t>
  </si>
  <si>
    <t>Lamp</t>
  </si>
  <si>
    <t>Online</t>
  </si>
  <si>
    <t>Mary Green</t>
  </si>
  <si>
    <t>United States</t>
  </si>
  <si>
    <t>Pencils</t>
  </si>
  <si>
    <t>Retail</t>
  </si>
  <si>
    <t>George Hill</t>
  </si>
  <si>
    <t>Spain</t>
  </si>
  <si>
    <t>Arthur James</t>
  </si>
  <si>
    <t>Jessica Miller</t>
  </si>
  <si>
    <t>Notepad</t>
  </si>
  <si>
    <t>Craig Hicks</t>
  </si>
  <si>
    <t>United Kingdom</t>
  </si>
  <si>
    <t>Philip Dean</t>
  </si>
  <si>
    <t>Canada</t>
  </si>
  <si>
    <t>Pens</t>
  </si>
  <si>
    <t>Paperclips</t>
  </si>
  <si>
    <t>Desk</t>
  </si>
  <si>
    <t>Chair</t>
  </si>
  <si>
    <t>Eraser</t>
  </si>
  <si>
    <t xml:space="preserve">aggregate </t>
  </si>
  <si>
    <t>Numerical</t>
  </si>
  <si>
    <t>Categorical</t>
  </si>
  <si>
    <t>Text</t>
  </si>
  <si>
    <t>yes or no</t>
  </si>
  <si>
    <t>M or F</t>
  </si>
  <si>
    <t>UG , PG and PHD</t>
  </si>
  <si>
    <t>open ended text</t>
  </si>
  <si>
    <t>Any number  data</t>
  </si>
  <si>
    <t>Pivot table is a quick way to do aggregation</t>
  </si>
  <si>
    <t>instead of using formulas</t>
  </si>
  <si>
    <t>Row Labels</t>
  </si>
  <si>
    <t>Grand Total</t>
  </si>
  <si>
    <t>job_title_short</t>
  </si>
  <si>
    <t>job_title</t>
  </si>
  <si>
    <t>job_location</t>
  </si>
  <si>
    <t>job_via</t>
  </si>
  <si>
    <t>job_schedule_type</t>
  </si>
  <si>
    <t>job_work_from_home</t>
  </si>
  <si>
    <t>search_location</t>
  </si>
  <si>
    <t>JOB_month</t>
  </si>
  <si>
    <t>job_posted_date</t>
  </si>
  <si>
    <t>job_no_degree_mention</t>
  </si>
  <si>
    <t>job_health_insurance</t>
  </si>
  <si>
    <t>job_country</t>
  </si>
  <si>
    <t>salary_rate</t>
  </si>
  <si>
    <t>salary_year_avg</t>
  </si>
  <si>
    <t>salary_hour_avg</t>
  </si>
  <si>
    <t>company_name</t>
  </si>
  <si>
    <t>job_skills</t>
  </si>
  <si>
    <t>Senior Data Scientist</t>
  </si>
  <si>
    <t>Senior Data Scientist Data and Analytics Performance Operations</t>
  </si>
  <si>
    <t>Bennington, NE</t>
  </si>
  <si>
    <t>via ZipRecruiter</t>
  </si>
  <si>
    <t>Full-time</t>
  </si>
  <si>
    <t>Sudan</t>
  </si>
  <si>
    <t>year</t>
  </si>
  <si>
    <t>Cox Communications</t>
  </si>
  <si>
    <t>['sql', 'python', 'aws', 'pyspark', 'tableau', 'power bi', 'git']</t>
  </si>
  <si>
    <t>Data Engineer</t>
  </si>
  <si>
    <t>Data Engineer - MA</t>
  </si>
  <si>
    <t>Mesa, AZ</t>
  </si>
  <si>
    <t>via Indeed</t>
  </si>
  <si>
    <t>Georgia</t>
  </si>
  <si>
    <t>Worldgate LLC</t>
  </si>
  <si>
    <t>['sql', 'nosql', 'java', 'python', 'kafka', 'spark', 'hadoop']</t>
  </si>
  <si>
    <t>Senior Data Analyst</t>
  </si>
  <si>
    <t>Supervisory Information Technology Specialist (Associate Director...</t>
  </si>
  <si>
    <t>Alexandria, VA</t>
  </si>
  <si>
    <t>New York, United States</t>
  </si>
  <si>
    <t>National Technical Information Service</t>
  </si>
  <si>
    <t>Machine Learning Engineer</t>
  </si>
  <si>
    <t>Machine Learning Research Scientist</t>
  </si>
  <si>
    <t>Pittsburgh, PA</t>
  </si>
  <si>
    <t>via Ai-Jobs.net</t>
  </si>
  <si>
    <t>Illinois, United States</t>
  </si>
  <si>
    <t>Bosch Group</t>
  </si>
  <si>
    <t>['pytorch', 'tensorflow']</t>
  </si>
  <si>
    <t>Data Scientist</t>
  </si>
  <si>
    <t>Data Scientist, AWS</t>
  </si>
  <si>
    <t>Irving, TX</t>
  </si>
  <si>
    <t>via Snagajob</t>
  </si>
  <si>
    <t>Full-time and Part-time</t>
  </si>
  <si>
    <t>Texas, United States</t>
  </si>
  <si>
    <t>hour</t>
  </si>
  <si>
    <t>Presidio, Inc.</t>
  </si>
  <si>
    <t>['python', 'r', 'sql', 'c', 'aws', 'gcp', 'bigquery', 'hadoop', 'scikit-learn', 'tensorflow', 'keras', 'pytorch', 'mxnet', 'matplotlib', 'seaborn', 'ggplot2', 'spark', 'tableau', 'git']</t>
  </si>
  <si>
    <t>Tysons, VA</t>
  </si>
  <si>
    <t>LMI Consulting, LLC</t>
  </si>
  <si>
    <t>['python', 'java', 'sql', 'snowflake', 'pyspark', 'scikit-learn']</t>
  </si>
  <si>
    <t>Sr. Data Engineer (remote)</t>
  </si>
  <si>
    <t>Anywhere</t>
  </si>
  <si>
    <t>MultiPlan Inc.</t>
  </si>
  <si>
    <t>['python', 'java', 'sql', 'nosql', 'mongodb', 'mongodb', 'azure', 'snowflake', 'kafka', 'spark', 'hadoop', 'docker', 'kubernetes']</t>
  </si>
  <si>
    <t>Senior Data Engineer</t>
  </si>
  <si>
    <t>Senior Data Engineer - Cloud Infrastructure and Video</t>
  </si>
  <si>
    <t>Coplay, PA</t>
  </si>
  <si>
    <t>Sports Info Solutions</t>
  </si>
  <si>
    <t>['python', 'rust', 'c++', 'java', 'aws', 'gcp', 'azure']</t>
  </si>
  <si>
    <t>Senior Data Analyst Remote</t>
  </si>
  <si>
    <t>California, United States</t>
  </si>
  <si>
    <t>Arsenault</t>
  </si>
  <si>
    <t>['sql', 'nosql', 'python', 'tableau']</t>
  </si>
  <si>
    <t>Data Scientist - TikTok Ads</t>
  </si>
  <si>
    <t>Mountain View, CA</t>
  </si>
  <si>
    <t>via LinkedIn</t>
  </si>
  <si>
    <t>TikTok</t>
  </si>
  <si>
    <t>['r', 'python', 'matlab', 'sql']</t>
  </si>
  <si>
    <t>University Grad Data Science (PhD Only) - Now Hiring</t>
  </si>
  <si>
    <t>San Francisco, CA</t>
  </si>
  <si>
    <t>Pinterest</t>
  </si>
  <si>
    <t>Staff Data Scientist - Riot Data, Emerging Games</t>
  </si>
  <si>
    <t>Los Angeles, CA (+1 other)</t>
  </si>
  <si>
    <t>via Hitmarker</t>
  </si>
  <si>
    <t>Riot Games</t>
  </si>
  <si>
    <t>['python', 'sql', 'scikit-learn', 'spark', 'airflow']</t>
  </si>
  <si>
    <t>Data Engineer - Now Hiring</t>
  </si>
  <si>
    <t>Bellevue, WA</t>
  </si>
  <si>
    <t>Northwest Software, Inc</t>
  </si>
  <si>
    <t>['sql', 'nosql', 'python', 'go', 'c++', 'postgresql', 'aws', 'azure', 'airflow', 'spark', 'pytorch', 'tensorflow', 'kafka', 'kubernetes']</t>
  </si>
  <si>
    <t>Data Scientist - Technical Platform</t>
  </si>
  <si>
    <t>['sql', 'python']</t>
  </si>
  <si>
    <t>Data Analyst</t>
  </si>
  <si>
    <t>Sr/Lead Data Analyst LIVE - USDS</t>
  </si>
  <si>
    <t>Los Angeles, CA</t>
  </si>
  <si>
    <t>['sql', 'python', 'express']</t>
  </si>
  <si>
    <t>Contractor</t>
  </si>
  <si>
    <t>Florida, United States</t>
  </si>
  <si>
    <t>Forsyth Barnes</t>
  </si>
  <si>
    <t>Mid to Senior Level Data Engineer--Consulting Services--Mainly...</t>
  </si>
  <si>
    <t>Colorado</t>
  </si>
  <si>
    <t>EMW Staffing Solutions LLC</t>
  </si>
  <si>
    <t>['nosql', 'sql', 'sql server', 'mysql', 'oracle', 'redshift', 'snowflake', 'azure', 'bigquery', 'aws', 'excel', 'power bi', 'tableau']</t>
  </si>
  <si>
    <t>Cupertino, CA</t>
  </si>
  <si>
    <t>via Ladders</t>
  </si>
  <si>
    <t>Volt Technical Resources</t>
  </si>
  <si>
    <t>['python', 'sql', 'aws']</t>
  </si>
  <si>
    <t>Huntsville, AL</t>
  </si>
  <si>
    <t>via Federal Government Jobs</t>
  </si>
  <si>
    <t>U.S. Army Corps of Engineers</t>
  </si>
  <si>
    <t>['python', 'sql', 'sas', 'sas', 'oracle', 'tableau']</t>
  </si>
  <si>
    <t>Senior Data Engineer (Hybrid)</t>
  </si>
  <si>
    <t>Annapolis, MD</t>
  </si>
  <si>
    <t>via SaluteMyJob</t>
  </si>
  <si>
    <t>Capital One</t>
  </si>
  <si>
    <t>['scala', 'nosql', 'python', 'sql', 'java', 'mongo', 'shell', 'mysql', 'cassandra', 'aws', 'azure', 'redshift', 'snowflake', 'hadoop', 'spark', 'kafka', 'angular']</t>
  </si>
  <si>
    <t>York, PA</t>
  </si>
  <si>
    <t>via JobAffairs4u.com</t>
  </si>
  <si>
    <t>Jobs Near Me</t>
  </si>
  <si>
    <t>['sql', 'javascript', 'sas', 'sas', 'excel', 'spss']</t>
  </si>
  <si>
    <t>Data Scientist - Computer Vision</t>
  </si>
  <si>
    <t>Paris, France</t>
  </si>
  <si>
    <t>digiRocks</t>
  </si>
  <si>
    <t>['python', 'c++', 'pytorch', 'tensorflow', 'keras']</t>
  </si>
  <si>
    <t>Jacksonville, FL</t>
  </si>
  <si>
    <t>SoFi</t>
  </si>
  <si>
    <t>['sql', 'python', 'excel', 'tableau']</t>
  </si>
  <si>
    <t>Gravity IT Resources</t>
  </si>
  <si>
    <t>['sql', 'sql server']</t>
  </si>
  <si>
    <t>Marketing Data Scientist</t>
  </si>
  <si>
    <t>Harnham</t>
  </si>
  <si>
    <t>['sql', 'r', 'python']</t>
  </si>
  <si>
    <t>Data Engineer III (Hybrid/Remote)</t>
  </si>
  <si>
    <t>Seattle, WA</t>
  </si>
  <si>
    <t>American Family Mutual Insurance Company</t>
  </si>
  <si>
    <t>['python', 'sql', 'nosql', 'aws', 'gcp', 'azure', 'spark', 'hadoop', 'docker', 'terraform', 'jenkins', 'git']</t>
  </si>
  <si>
    <t>Senior Data Engineer, TikTok Multimedia</t>
  </si>
  <si>
    <t>['sql', 'python', 'go', 'c++', 'hadoop', 'spark']</t>
  </si>
  <si>
    <t>Alpharetta, GA</t>
  </si>
  <si>
    <t>Insight Global</t>
  </si>
  <si>
    <t>['sql', 'python', 'java', 'azure', 'databricks', 'aws', 'redshift', 'hadoop', 'spark', 'pyspark']</t>
  </si>
  <si>
    <t>Antioch, IL</t>
  </si>
  <si>
    <t>AbbVie</t>
  </si>
  <si>
    <t>['sql', 'python', 'sas', 'sas', 'r', 'oracle', 'aws', 'spark', 'airflow']</t>
  </si>
  <si>
    <t>Senior Actuarial Consultant and Data Scientist - Remote</t>
  </si>
  <si>
    <t>Las Vegas, NV</t>
  </si>
  <si>
    <t>via Las Vegas, NV - Geebo</t>
  </si>
  <si>
    <t>UnitedHealth Group</t>
  </si>
  <si>
    <t>['r', 'python', 'vba', 'sas', 'sas', 'sql', 'databricks', 'excel']</t>
  </si>
  <si>
    <t>HR Data Risk &amp; Control Analyst (Hybrid)</t>
  </si>
  <si>
    <t>Citigroup, Inc</t>
  </si>
  <si>
    <t>Intern - Data Scientist - Summer 2024 - Now Hiring</t>
  </si>
  <si>
    <t>Full-time, Part-time, and Internship</t>
  </si>
  <si>
    <t>Lumen</t>
  </si>
  <si>
    <t>['sql', 'python', 'c', 'azure', 'kafka', 'jupyter']</t>
  </si>
  <si>
    <t>Eliassen Group</t>
  </si>
  <si>
    <t>['python', 'r', 'sas', 'sas', 'sql', 'postgresql', 'redshift', 'aws', 'hadoop', 'spark', 'unix', 'linux', 'terraform', 'ansible']</t>
  </si>
  <si>
    <t>Senior Data Engineer (Remote, Publishing)</t>
  </si>
  <si>
    <t>via Motion Recruitment</t>
  </si>
  <si>
    <t>Motion Recruitment</t>
  </si>
  <si>
    <t>New York, NY</t>
  </si>
  <si>
    <t>New York University</t>
  </si>
  <si>
    <t>['r', 'tableau', 'spss', 'sheets', 'excel']</t>
  </si>
  <si>
    <t>Data Engineer - Clearance Required - Now Hiring</t>
  </si>
  <si>
    <t>['python', 'redis', 'cassandra', 'aws', 'kafka', 'hadoop', 'spark', 'kubernetes']</t>
  </si>
  <si>
    <t>Data Scientist Digital Effectiveness Operations &amp; Technology Analytics</t>
  </si>
  <si>
    <t>Sun City, AZ</t>
  </si>
  <si>
    <t>['sql', 'python', 'aws', 'pandas', 'numpy', 'scikit-learn', 'pyspark', 'tableau']</t>
  </si>
  <si>
    <t>Malvern, PA</t>
  </si>
  <si>
    <t>['go', 'python', 'sql', 'aws', 'pyspark']</t>
  </si>
  <si>
    <t>Azure Solution Architect/Sr Data Engineer</t>
  </si>
  <si>
    <t>Allendale, NJ</t>
  </si>
  <si>
    <t>via Dice</t>
  </si>
  <si>
    <t>IDC Technologies</t>
  </si>
  <si>
    <t>['sql', 'azure', 'oracle', 'excel']</t>
  </si>
  <si>
    <t>Santa Ana, CA</t>
  </si>
  <si>
    <t>Office of General Counsel</t>
  </si>
  <si>
    <t>Falls Church, VA</t>
  </si>
  <si>
    <t>Northrop Grumman</t>
  </si>
  <si>
    <t>['sql', 'python', 'r', 'java', 'sql server', 'azure', 'aws', 'alteryx', 'ssis', 'tableau']</t>
  </si>
  <si>
    <t>Data Engineer, Data &amp; Insights - USDS</t>
  </si>
  <si>
    <t>['swift', 'java', 'sql', 'nosql', 'cassandra', 'kafka', 'gdpr', 'express', 'flow']</t>
  </si>
  <si>
    <t>Associate, Data Engineer</t>
  </si>
  <si>
    <t>Grand Rapids, MI</t>
  </si>
  <si>
    <t>KPMG</t>
  </si>
  <si>
    <t>['python', 'sql', 'go', 'jira']</t>
  </si>
  <si>
    <t>M Science</t>
  </si>
  <si>
    <t>['databricks', 'snowflake', 'aws', 'airflow', 'tableau', 'git']</t>
  </si>
  <si>
    <t>Software Engineer</t>
  </si>
  <si>
    <t>Software Engineer - Data Engineering/Enterprise App Platforms</t>
  </si>
  <si>
    <t>Mexico</t>
  </si>
  <si>
    <t>Cisco</t>
  </si>
  <si>
    <t>['python', 'golang', 'shell', 'java', 'javascript', 'html', 'css', 'sql', 'mongo', 'elasticsearch', 'sql server', 'neo4j', 'snowflake', 'oracle', 'aws', 'gcp', 'azure', 'kafka', 'angular', 'jquery', 'linux', 'github', 'jenkins', 'ansible']</t>
  </si>
  <si>
    <t>St. Louis, MO</t>
  </si>
  <si>
    <t>via JobServe</t>
  </si>
  <si>
    <t>Federal Reserve System</t>
  </si>
  <si>
    <t>['python', 'sql', 'postgresql', 'aws', 'pandas', 'flow', 'docker', 'git', 'terraform']</t>
  </si>
  <si>
    <t>Associate, Data Engineer - Now Hiring</t>
  </si>
  <si>
    <t>Data Scientist - Marketing Analytics</t>
  </si>
  <si>
    <t>Cottonwood Financial</t>
  </si>
  <si>
    <t>['sql', 'sas', 'sas', 'python', 'r']</t>
  </si>
  <si>
    <t>Junior Data Scientist</t>
  </si>
  <si>
    <t>Indianapolis, IN</t>
  </si>
  <si>
    <t>Acadia Technologies, Inc.</t>
  </si>
  <si>
    <t>Mossville, IL</t>
  </si>
  <si>
    <t>Aditi Consulting</t>
  </si>
  <si>
    <t>['sql', 'visual basic', 'python', 'aurora', 'snowflake', 'power bi']</t>
  </si>
  <si>
    <t>Senior Data Analyst Business Optimization Intelligence</t>
  </si>
  <si>
    <t>Bailey's Crossroads, VA</t>
  </si>
  <si>
    <t>['sql', 'snowflake', 'aws', 'microstrategy', 'tableau', 'excel']</t>
  </si>
  <si>
    <t>Desk Aligned Data Engineer - Macro Trading - $400k</t>
  </si>
  <si>
    <t>Paragon Alpha - Hedge Fund Talent Business</t>
  </si>
  <si>
    <t>['python', 'sql', 'airflow']</t>
  </si>
  <si>
    <t>Sr. Data Analyst (Healthcare Reporting/Data Analytics)- REMOTE</t>
  </si>
  <si>
    <t>SGA Inc.</t>
  </si>
  <si>
    <t>['sql', 'power bi', 'excel']</t>
  </si>
  <si>
    <t>Associate Data Scientist</t>
  </si>
  <si>
    <t>Brooksource</t>
  </si>
  <si>
    <t>['sql', 'python', 'r', 'azure', 'git']</t>
  </si>
  <si>
    <t>Junior Data Analyst</t>
  </si>
  <si>
    <t>Edmonton, AB, Canada</t>
  </si>
  <si>
    <t>via Get.It</t>
  </si>
  <si>
    <t>Part-time</t>
  </si>
  <si>
    <t>Trans-Tach</t>
  </si>
  <si>
    <t>['sql', 'python', 'excel']</t>
  </si>
  <si>
    <t>Senior Data Scientist - Clearance Required - Now Hiring</t>
  </si>
  <si>
    <t>['python', 'java', 'r', 'matlab', 'sql', 'databricks', 'spark', 'pyspark', 'scikit-learn', 'qlik']</t>
  </si>
  <si>
    <t>Lead Data Engineer - CLOUD</t>
  </si>
  <si>
    <t>Melville, NY</t>
  </si>
  <si>
    <t>Northwell Health</t>
  </si>
  <si>
    <t>['nosql', 'sql', 'javascript', 'python', 'bigquery', 'gcp', 'hadoop', 'spark']</t>
  </si>
  <si>
    <t>['sql', 'python', 'scala', 'java', 'nosql', 'aws', 'pyspark', 'kafka', 'airflow']</t>
  </si>
  <si>
    <t>Interactive Resources - iR</t>
  </si>
  <si>
    <t>['sql', 'linux']</t>
  </si>
  <si>
    <t>Data Scientist II, Tech</t>
  </si>
  <si>
    <t>Uber</t>
  </si>
  <si>
    <t>Founding Data Engineer</t>
  </si>
  <si>
    <t>via Y Combinator</t>
  </si>
  <si>
    <t>Confido</t>
  </si>
  <si>
    <t>['go', 'python', 'aws', 'node.js', 'flow']</t>
  </si>
  <si>
    <t>Data scientist to polish projects and build portfolio. - Contract...</t>
  </si>
  <si>
    <t>via Upwork</t>
  </si>
  <si>
    <t>Contractor and Temp work</t>
  </si>
  <si>
    <t>Upwork</t>
  </si>
  <si>
    <t>Senior Data Scientist, Wireless Product</t>
  </si>
  <si>
    <t>Nederland, CO</t>
  </si>
  <si>
    <t>DISH</t>
  </si>
  <si>
    <t>['python', 'r', 'sql', 'aws', 'snowflake']</t>
  </si>
  <si>
    <t>Software/Data Engineer - Python/AWS</t>
  </si>
  <si>
    <t>Washington, DC</t>
  </si>
  <si>
    <t>Flex Employee Services</t>
  </si>
  <si>
    <t>['python', 'sql', 'java', 'sas', 'sas', 'postgresql', 'aws', 'oracle', 'aurora', 'redshift', 'pyspark', 'spring', 'angular', 'jenkins', 'bitbucket']</t>
  </si>
  <si>
    <t>Sr.Azure Data Engineer</t>
  </si>
  <si>
    <t>Charleston, SC</t>
  </si>
  <si>
    <t>via Dice.com</t>
  </si>
  <si>
    <t>JConnect Inc</t>
  </si>
  <si>
    <t>['sql', 'sql server', 'azure', 'databricks', 'pyspark', 'ssis']</t>
  </si>
  <si>
    <t>Data Engineering Manager</t>
  </si>
  <si>
    <t>Rijeka, Croatia</t>
  </si>
  <si>
    <t>Croatia</t>
  </si>
  <si>
    <t>iOLAP</t>
  </si>
  <si>
    <t>Data Engineer Analytics - W2</t>
  </si>
  <si>
    <t>Hartford, CT</t>
  </si>
  <si>
    <t>Sunrise Systems Inc</t>
  </si>
  <si>
    <t>['sql']</t>
  </si>
  <si>
    <t>Houston, TX</t>
  </si>
  <si>
    <t>Connvertex Technologies Inc.</t>
  </si>
  <si>
    <t>Harrisonburg, VA</t>
  </si>
  <si>
    <t>Tampa, FL</t>
  </si>
  <si>
    <t>Jobot</t>
  </si>
  <si>
    <t>['sql', 'azure', 'tableau']</t>
  </si>
  <si>
    <t>Lead Data Engineer - Full-time / Part-time</t>
  </si>
  <si>
    <t>Rockford, IL</t>
  </si>
  <si>
    <t>['python', 'scala', 'sql', 'java', 'nosql', 'mongo', 'shell', 'mysql', 'cassandra', 'aws', 'azure', 'redshift', 'snowflake', 'spark', 'hadoop', 'kafka']</t>
  </si>
  <si>
    <t>Escrow Data Analyst</t>
  </si>
  <si>
    <t>Ocala, FL</t>
  </si>
  <si>
    <t>Essex Mortgage</t>
  </si>
  <si>
    <t>['word', 'excel', 'powerpoint']</t>
  </si>
  <si>
    <t>IT &amp; Strategy Talent Programme - AI/ML and Data Engineer</t>
  </si>
  <si>
    <t>Hamburg, Germany</t>
  </si>
  <si>
    <t>Germany</t>
  </si>
  <si>
    <t>Vattenfall</t>
  </si>
  <si>
    <t>['azure']</t>
  </si>
  <si>
    <t>Big Data Engineer</t>
  </si>
  <si>
    <t>Jessup, MD</t>
  </si>
  <si>
    <t>Robert Half</t>
  </si>
  <si>
    <t>['db2', 'power bi']</t>
  </si>
  <si>
    <t>Azure Data Engineer</t>
  </si>
  <si>
    <t>Vertisystem</t>
  </si>
  <si>
    <t>['python', 'sql', 'powershell', 'bash', 'azure', 'databricks', 'pandas', 'github']</t>
  </si>
  <si>
    <t>Fremont, CA</t>
  </si>
  <si>
    <t>SoundThinking</t>
  </si>
  <si>
    <t>['python', 'r', 'sql', 'aws', 'pandas', 'numpy', 'tidyverse', 'matplotlib', 'ggplot2']</t>
  </si>
  <si>
    <t>Lead Data Scientist</t>
  </si>
  <si>
    <t>Homestead, PA</t>
  </si>
  <si>
    <t>Highmark</t>
  </si>
  <si>
    <t>['python', 'sql', 'r', 'bigquery', 'flow']</t>
  </si>
  <si>
    <t>Senior Data Engineer - Principal Associate - Full-time / Part-time</t>
  </si>
  <si>
    <t>Paris, TX</t>
  </si>
  <si>
    <t>['java', 'scala', 'python', 'nosql', 'sql', 'mongo', 'shell', 'mysql', 'cassandra', 'redshift', 'snowflake', 'aws', 'azure', 'hadoop', 'kafka', 'spark']</t>
  </si>
  <si>
    <t>El Mirage, AZ</t>
  </si>
  <si>
    <t>['sql', 'r', 'python', 'scala', 'java', 'c++', 'sas', 'sas', 'aws', 'spark', 'ggplot2', 'pandas', 'numpy', 'scikit-learn', 'tableau']</t>
  </si>
  <si>
    <t>Leadstack Inc</t>
  </si>
  <si>
    <t>['python', 'sql', 'azure', 'databricks', 'spark', 'power bi']</t>
  </si>
  <si>
    <t>(Senior) Analytics Engineer / Data Engineer (all genders)</t>
  </si>
  <si>
    <t>Göppingen, Germany</t>
  </si>
  <si>
    <t>TeamViewer</t>
  </si>
  <si>
    <t>['sql', 'go', 'git']</t>
  </si>
  <si>
    <t>Newnan, GA</t>
  </si>
  <si>
    <t>JB HARRIS TRANSPORT</t>
  </si>
  <si>
    <t>['sql', 'power bi', 'dax']</t>
  </si>
  <si>
    <t>Business Analyst</t>
  </si>
  <si>
    <t>['sql', 'sas', 'sas', 'sql server', 'word', 'excel', 'webex']</t>
  </si>
  <si>
    <t>Data Scientist (Manufacturing)</t>
  </si>
  <si>
    <t>Austin, TX</t>
  </si>
  <si>
    <t>Sustainment</t>
  </si>
  <si>
    <t>HR Reporting Data Analyst</t>
  </si>
  <si>
    <t>Exton, PA</t>
  </si>
  <si>
    <t>['sql', 'oracle', 'excel', 'tableau']</t>
  </si>
  <si>
    <t>Data Scientist Technical Specialist - Full-time / Part-time</t>
  </si>
  <si>
    <t>Reston, VA</t>
  </si>
  <si>
    <t>CoSolutions, Inc.</t>
  </si>
  <si>
    <t>['c#', 'c++', 'python', 'hadoop', 'pandas', 'jupyter', 'windows', 'tableau', 'excel']</t>
  </si>
  <si>
    <t>Data Analyst/ Data Engineer</t>
  </si>
  <si>
    <t>Plano, TX</t>
  </si>
  <si>
    <t>Pyramid Consulting, Inc</t>
  </si>
  <si>
    <t>['python', 'sql', 'aws', 'databricks', 'tableau']</t>
  </si>
  <si>
    <t>Senior Data Scientist - Language Modeling and AI</t>
  </si>
  <si>
    <t>Belle, MO</t>
  </si>
  <si>
    <t>EDWARD JONES</t>
  </si>
  <si>
    <t>['python', 'r', 'scala', 'tensorflow', 'pytorch']</t>
  </si>
  <si>
    <t>Cleared Data Engineer (All Levels)</t>
  </si>
  <si>
    <t>Chantilly, VA</t>
  </si>
  <si>
    <t>Noblis</t>
  </si>
  <si>
    <t>['python', 'sql', 'java', 'mongodb', 'mongodb', 'javascript', 'postgresql', 'mysql', 'oracle', 'hadoop', 'spark', 'docker', 'kubernetes', 'git']</t>
  </si>
  <si>
    <t>Data Scientist 4</t>
  </si>
  <si>
    <t>via Genesis10 - Talentify</t>
  </si>
  <si>
    <t>Genesis10</t>
  </si>
  <si>
    <t>['python', 'r', 'java', 'nosql', 'mongo', 'neo4j', 'cassandra', 'databricks', 'azure', 'aws', 'hadoop', 'pyspark', 'spark', 'kafka', 'airflow', 'tableau', 'yarn', 'git', 'bitbucket', 'jenkins']</t>
  </si>
  <si>
    <t>TheoremOne</t>
  </si>
  <si>
    <t>['sql', 'java', 'scala', 'python', 'aws', 'spark', 'hadoop', 'kafka', 'airflow']</t>
  </si>
  <si>
    <t>Senior Data Scientist (f/m/d) Spain</t>
  </si>
  <si>
    <t>Barcelona, Spain</t>
  </si>
  <si>
    <t>SIGNA Sports United</t>
  </si>
  <si>
    <t>['python', 'sql']</t>
  </si>
  <si>
    <t>Data Scientist Needed to build a reccomendation system</t>
  </si>
  <si>
    <t>['python', 'r', 'scala', 'tensorflow', 'pytorch', 'scikit-learn', 'pandas', 'numpy']</t>
  </si>
  <si>
    <t>Hanker Solutions Pvt.Ltd</t>
  </si>
  <si>
    <t>['oracle']</t>
  </si>
  <si>
    <t>Chicago, IL</t>
  </si>
  <si>
    <t>Alliant Credit Union</t>
  </si>
  <si>
    <t>Data Scientist 3</t>
  </si>
  <si>
    <t>Annapolis Junction, MD</t>
  </si>
  <si>
    <t>iNovex Information Systems</t>
  </si>
  <si>
    <t>Senior Data Scientist - Clearance Required - Full-time / Part-time</t>
  </si>
  <si>
    <t>Data Engineer (Cloud) (W2 Only)</t>
  </si>
  <si>
    <t>Columbus, OH</t>
  </si>
  <si>
    <t>BayOne Solutions</t>
  </si>
  <si>
    <t>['sql', 'sql server', 'aws']</t>
  </si>
  <si>
    <t>Graduate Power BI Developer</t>
  </si>
  <si>
    <t>Mumbai, Maharashtra, India</t>
  </si>
  <si>
    <t>India</t>
  </si>
  <si>
    <t>YouGov</t>
  </si>
  <si>
    <t>Cloud Data Engineer II - Full-time / Part-time</t>
  </si>
  <si>
    <t>Dubuque, IA</t>
  </si>
  <si>
    <t>Heartland Financial USA Inc</t>
  </si>
  <si>
    <t>['sql', 'java', 'sql server', 'snowflake', 'git']</t>
  </si>
  <si>
    <t>Rhythmos</t>
  </si>
  <si>
    <t>['python', 'java', 'sql', 'no-sql', 'scala', 'nosql', 'aws', 'gcp', 'kafka', 'spark', 'docker', 'kubernetes', 'confluence']</t>
  </si>
  <si>
    <t>Orlando, FL</t>
  </si>
  <si>
    <t>via BeBee</t>
  </si>
  <si>
    <t>Siemens Energy</t>
  </si>
  <si>
    <t>Willow Grove, PA</t>
  </si>
  <si>
    <t>Kane Partners LLC</t>
  </si>
  <si>
    <t>['python', 'sql', 'azure']</t>
  </si>
  <si>
    <t>TechOps Data Scientist (Wilsonville, OR or Huntsville, AL)</t>
  </si>
  <si>
    <t>Siemens</t>
  </si>
  <si>
    <t>['sas', 'sas', 'java', 'scala', 'c++', 'matlab', 'mongodb', 'mongodb', 'cassandra', 'excel', 'tableau', 'qlik']</t>
  </si>
  <si>
    <t>Data Engineer 2</t>
  </si>
  <si>
    <t>Bengaluru, Karnataka, India</t>
  </si>
  <si>
    <t>Publicis Groupe</t>
  </si>
  <si>
    <t>['sql', 'shell', 'python', 'nosql', 'aws', 'redshift', 'hadoop', 'spark', 'pyspark', 'airflow', 'docker']</t>
  </si>
  <si>
    <t>Director, Data and Analytics</t>
  </si>
  <si>
    <t>Elmhurst, IL</t>
  </si>
  <si>
    <t>Kellogg Company</t>
  </si>
  <si>
    <t>['r', 'aws', 'redshift']</t>
  </si>
  <si>
    <t>Raleigh, NC</t>
  </si>
  <si>
    <t>['nosql', 'sql', 'python', 'c', 'aws', 'azure', 'gcp', 'spark', 'airflow', 'tableau', 'git', 'terraform', 'docker', 'kubernetes']</t>
  </si>
  <si>
    <t>Student Worker/Intern - Data Analysis</t>
  </si>
  <si>
    <t>Dallas, TX</t>
  </si>
  <si>
    <t>UNT System</t>
  </si>
  <si>
    <t>['sas', 'sas', 'python', 'word', 'spreadsheet', 'tableau', 'excel']</t>
  </si>
  <si>
    <t>Staff Data Scientist</t>
  </si>
  <si>
    <t>Databricks</t>
  </si>
  <si>
    <t>['scala', 'python', 'sql', 'databricks', 'spark', 'excel', 'unify']</t>
  </si>
  <si>
    <t>Data Engineer - Full-time</t>
  </si>
  <si>
    <t>Dublin, OH</t>
  </si>
  <si>
    <t>['sql', 'gcp', 'airflow']</t>
  </si>
  <si>
    <t>Data Scientist &amp; Python Developer (remote opportunity)</t>
  </si>
  <si>
    <t>Tivity Health Services, LLC</t>
  </si>
  <si>
    <t>['python', 'sql', 'aws', 'pandas', 'numpy', 'matplotlib', 'seaborn', 'plotly', 'nltk', 'pytorch', 'django', 'flask']</t>
  </si>
  <si>
    <t>Data Engineer, Lead - Now Hiring</t>
  </si>
  <si>
    <t>Arlington, VA</t>
  </si>
  <si>
    <t>Booz Allen Hamilton</t>
  </si>
  <si>
    <t>['python', 'sql', 'scala', 'java', 'nosql', 'mongodb', 'mongodb', 'shell', 'cassandra', 'mysql', 'aws', 'azure', 'databricks', 'redshift', 'snowflake', 'spark', 'airflow', 'hadoop', 'kafka', 'unix', 'linux']</t>
  </si>
  <si>
    <t>['sql', 'looker']</t>
  </si>
  <si>
    <t>Data Engineering Consultant (Hybrid) - Now Hiring</t>
  </si>
  <si>
    <t>Burnsville, MN</t>
  </si>
  <si>
    <t>Securian Financial Group</t>
  </si>
  <si>
    <t>['sql', 'aws', 'flow']</t>
  </si>
  <si>
    <t>Greenwood Village, CO</t>
  </si>
  <si>
    <t>Ascendion</t>
  </si>
  <si>
    <t>Product Management Data Analyst - Now Hiring</t>
  </si>
  <si>
    <t>LPL Financial</t>
  </si>
  <si>
    <t>['erlang', 'sql', 'r', 'python', 'tableau', 'alteryx']</t>
  </si>
  <si>
    <t>Baltimore, MD</t>
  </si>
  <si>
    <t>via Adzuna</t>
  </si>
  <si>
    <t>['scala', 'nosql', 'python', 'java', 'elasticsearch', 'cassandra', 'aws', 'azure', 'redshift', 'snowflake', 'hadoop', 'spark', 'airflow', 'kafka', 'angular']</t>
  </si>
  <si>
    <t>Sr Data Engineer - (in-person in Aliso Viejo)</t>
  </si>
  <si>
    <t>Irvine, CA</t>
  </si>
  <si>
    <t>Adroit Worldwide Media, Inc. (AWM Smart Shelf)</t>
  </si>
  <si>
    <t>['sql', 'python', 'gcp', 'power bi', 'tableau']</t>
  </si>
  <si>
    <t>Senior Data Engineer - Full-time / Part-time</t>
  </si>
  <si>
    <t>Orange, CA</t>
  </si>
  <si>
    <t>ENGIE North America Inc.</t>
  </si>
  <si>
    <t>['sql', 'swift']</t>
  </si>
  <si>
    <t>Dayton, OH</t>
  </si>
  <si>
    <t>['python', 'r', 'azure', 'aws', 'gcp', 'tensorflow', 'hadoop']</t>
  </si>
  <si>
    <t>Lead Data Engineer - Now Hiring</t>
  </si>
  <si>
    <t>Morristown, NJ</t>
  </si>
  <si>
    <t>Zelis Healthcare, LLC</t>
  </si>
  <si>
    <t>['python', 'sql', 't-sql', 'sql server', 'snowflake', 'azure', 'git', 'jira', 'confluence']</t>
  </si>
  <si>
    <t>Sr. Data Engineer - (Hybrid)</t>
  </si>
  <si>
    <t>Oak Brook, IL</t>
  </si>
  <si>
    <t>The Chamberlain Group</t>
  </si>
  <si>
    <t>['nosql', 'databricks', 'azure', 'spark', 'kafka', 'qlik', 'power bi']</t>
  </si>
  <si>
    <t>Portland, OR</t>
  </si>
  <si>
    <t>Yorkshire Global Solutions Inc.</t>
  </si>
  <si>
    <t>['python', 'sql', 'nosql', 'java', 'scala', 'shell', 'aws', 'pyspark', 'hadoop', 'spark', 'kafka', 'spring']</t>
  </si>
  <si>
    <t>['sql', 'r', 'python', 'tableau']</t>
  </si>
  <si>
    <t>Cloud Engineer</t>
  </si>
  <si>
    <t>Network engineer</t>
  </si>
  <si>
    <t>Atlanta, GA</t>
  </si>
  <si>
    <t>via Talent.com</t>
  </si>
  <si>
    <t>Full-time and Temp work</t>
  </si>
  <si>
    <t>titandata.com</t>
  </si>
  <si>
    <t>['python']</t>
  </si>
  <si>
    <t>Data Analyst - Operations - Onboarding and Subscription Management</t>
  </si>
  <si>
    <t>Chennai, Tamil Nadu, India</t>
  </si>
  <si>
    <t>Arcadia</t>
  </si>
  <si>
    <t>['sql', 'electron', 'excel', 'powerpoint', 'word']</t>
  </si>
  <si>
    <t>Sr. Data Engineer</t>
  </si>
  <si>
    <t>Resonate</t>
  </si>
  <si>
    <t>['scala', 'java', 'sql', 'aws', 'kafka', 'splunk']</t>
  </si>
  <si>
    <t>Gaithersburg, MD</t>
  </si>
  <si>
    <t>Tri-Force Consulting Services Inc</t>
  </si>
  <si>
    <t>South Bend, IN</t>
  </si>
  <si>
    <t>['java', 'scala', 'python', 'nosql', 'mongo', 'shell', 'cassandra', 'redshift', 'snowflake', 'aws', 'azure', 'spark', 'hadoop', 'kafka']</t>
  </si>
  <si>
    <t>Head of Data Science</t>
  </si>
  <si>
    <t>Demandbase</t>
  </si>
  <si>
    <t>['sql', 'go', 'sql server', 'oracle', 'snowflake', 'azure', 'tableau', 'power bi']</t>
  </si>
  <si>
    <t>Data Engineer (JO-01)</t>
  </si>
  <si>
    <t>St Paul, MN</t>
  </si>
  <si>
    <t>via WDHN Jobs</t>
  </si>
  <si>
    <t>Ledgent Technology</t>
  </si>
  <si>
    <t>['sql', 'mongodb', 'mongodb', 'azure']</t>
  </si>
  <si>
    <t>(CA Only Remote) Data Scientist-E-Commerce</t>
  </si>
  <si>
    <t>['sql', 'python', 'bigquery', 'excel']</t>
  </si>
  <si>
    <t>Earth Observation Data Scientist - Contract to Hire</t>
  </si>
  <si>
    <t>['aws']</t>
  </si>
  <si>
    <t>Data Scientist in Programmatic Advertising - Contract to Hire</t>
  </si>
  <si>
    <t>['python', 'java', 'scala', 'aws', 'azure', 'gcp', 'spark', 'hadoop']</t>
  </si>
  <si>
    <t>Sr.Data Analyst</t>
  </si>
  <si>
    <t>Vanguard Group</t>
  </si>
  <si>
    <t>CyberCoders</t>
  </si>
  <si>
    <t>['python', 'azure', 'pytorch', 'tensorflow', 'opencv', 'datarobot']</t>
  </si>
  <si>
    <t>Senior Director, Data Engineer - Remote - Now Hiring</t>
  </si>
  <si>
    <t>Charlotte, NC</t>
  </si>
  <si>
    <t>GXO Logistics</t>
  </si>
  <si>
    <t>['excel']</t>
  </si>
  <si>
    <t>Maven Wave Partners</t>
  </si>
  <si>
    <t>['python', 'java', 'sql', 'aws', 'azure', 'gcp', 'bigquery', 'redshift', 'snowflake', 'spark', 'hadoop']</t>
  </si>
  <si>
    <t>The Hartford Financial Services Group, Inc</t>
  </si>
  <si>
    <t>['sql', 'r', 'oracle', 'snowflake', 'aws']</t>
  </si>
  <si>
    <t>Healthcare Data Analyst I</t>
  </si>
  <si>
    <t>Navient - Xtend Healthcare</t>
  </si>
  <si>
    <t>['c', 'sql', 'excel']</t>
  </si>
  <si>
    <t>Beam</t>
  </si>
  <si>
    <t>['sql', 'python', 'r', 'aws', 'gcp', 'pytorch', 'tensorflow', 'scikit-learn']</t>
  </si>
  <si>
    <t>People Source Consulting</t>
  </si>
  <si>
    <t>['python', 'scala', 'java', 'sql', 'nosql', 'hadoop', 'spark']</t>
  </si>
  <si>
    <t>Tallinn, Estonia</t>
  </si>
  <si>
    <t>Estonia</t>
  </si>
  <si>
    <t>Jobbatical</t>
  </si>
  <si>
    <t>['sql', 'python', 'node', 'looker', 'github']</t>
  </si>
  <si>
    <t>Data Scientist (Healthcare)</t>
  </si>
  <si>
    <t>Nea Smyrni, Greece</t>
  </si>
  <si>
    <t>Greece</t>
  </si>
  <si>
    <t>WINGS-ICT-SOLUTIONS</t>
  </si>
  <si>
    <t>['python', 'pytorch', 'tensorflow']</t>
  </si>
  <si>
    <t>Want to be Data Scientist</t>
  </si>
  <si>
    <t>Tech Consulting</t>
  </si>
  <si>
    <t>['python', 'java', 'r', 'sql', 'pandas', 'numpy', 'matplotlib', 'seaborn', 'tableau', 'power bi']</t>
  </si>
  <si>
    <t>Senior Data Engineer (AWS, python, Devops, Snowflake)</t>
  </si>
  <si>
    <t>['python', 'java', 'scala', 'nosql', 'sql', 'mongo', 'shell', 'mysql', 'cassandra', 'aws', 'snowflake', 'redshift', 'azure', 'hadoop', 'kafka', 'spark']</t>
  </si>
  <si>
    <t>McKinney, TX</t>
  </si>
  <si>
    <t>['nosql', 'databricks', 'spark']</t>
  </si>
  <si>
    <t>Linux/Data Engineer</t>
  </si>
  <si>
    <t>Fort Meade, MD</t>
  </si>
  <si>
    <t>VSolvit</t>
  </si>
  <si>
    <t>['java', 'linux', 'flow', 'docker', 'kubernetes']</t>
  </si>
  <si>
    <t>Sr-level Data Analyst/Engineer</t>
  </si>
  <si>
    <t>Augusta, GA</t>
  </si>
  <si>
    <t>Peraton</t>
  </si>
  <si>
    <t>['assembly', 'python', 'aws', 'azure', 'pandas', 'matplotlib', 'jupyter']</t>
  </si>
  <si>
    <t>Principal Data Engineer (San Diego)</t>
  </si>
  <si>
    <t>San Diego, CA</t>
  </si>
  <si>
    <t>via WJHL Jobs</t>
  </si>
  <si>
    <t>['r', 'sql', 'python', 'c++', 'javascript', 'sql server', 'aws', 'pandas', 'tensorflow', 'pytorch', 'matplotlib', 'seaborn', 'django', 'flask', 'linux', 'tableau', 'docker']</t>
  </si>
  <si>
    <t>Marketing Data Analyst</t>
  </si>
  <si>
    <t>Bank of America Corporation</t>
  </si>
  <si>
    <t>['sas', 'sas', 'python', 'spark', 'microstrategy', 'excel', 'tableau']</t>
  </si>
  <si>
    <t>ML Pipeline Data Engineer for Weather Data</t>
  </si>
  <si>
    <t>['aws', 'kubernetes']</t>
  </si>
  <si>
    <t>Senior IT Analyst (Data Scientist)</t>
  </si>
  <si>
    <t>Caterpillar, Inc</t>
  </si>
  <si>
    <t>['python', 'snowflake']</t>
  </si>
  <si>
    <t>[Job-10949] Senior Data Architect, Brasil</t>
  </si>
  <si>
    <t>Brazil</t>
  </si>
  <si>
    <t>CI&amp;T</t>
  </si>
  <si>
    <t>['sql', 'no-sql', 'mongodb', 'mongodb', 'mysql', 'neo4j', 'cassandra', 'snowflake', 'redshift', 'bigquery', 'databricks', 'aws', 'spark']</t>
  </si>
  <si>
    <t>Data Scientist active TS/SCI - Full-time / Part-time</t>
  </si>
  <si>
    <t>['scala', 'python', 'java']</t>
  </si>
  <si>
    <t>Entry Level Data Analyst</t>
  </si>
  <si>
    <t>Tableau Data Engineer (Healthcare) - Remote (12-month contract)</t>
  </si>
  <si>
    <t>Full-time and Contractor</t>
  </si>
  <si>
    <t>Amazee Global Ventures Inc,</t>
  </si>
  <si>
    <t>['sql', 'tableau']</t>
  </si>
  <si>
    <t>IT Junior Analyst - REMOTE</t>
  </si>
  <si>
    <t>Agility 360</t>
  </si>
  <si>
    <t>Ipswich, MA</t>
  </si>
  <si>
    <t>New England Biolabs</t>
  </si>
  <si>
    <t>['sql', 'java', 'c#', 'python', 'sql server', 'databricks', 'azure', 'aws', 'sap']</t>
  </si>
  <si>
    <t>Mooresville, NC</t>
  </si>
  <si>
    <t>Lowe’s</t>
  </si>
  <si>
    <t>['python', 'java', 'scala', 'rust', 'sql', 'hadoop', 'spark']</t>
  </si>
  <si>
    <t>Data Analyst II (Healthcare Analytics)</t>
  </si>
  <si>
    <t>Lake View Terrace, CA</t>
  </si>
  <si>
    <t>Health Net</t>
  </si>
  <si>
    <t>['sql', 'python', 'r', 'excel']</t>
  </si>
  <si>
    <t>Data Science Intern - Now Hiring</t>
  </si>
  <si>
    <t>Experian</t>
  </si>
  <si>
    <t>['python', 'r', 'java', 'c++', 'c']</t>
  </si>
  <si>
    <t>Senior Data Scientist, Customer Modeling - Now Hiring</t>
  </si>
  <si>
    <t>Miami, FL</t>
  </si>
  <si>
    <t>Lennar Corporation</t>
  </si>
  <si>
    <t>Data Science Lead</t>
  </si>
  <si>
    <t>Cyprus</t>
  </si>
  <si>
    <t>Palta</t>
  </si>
  <si>
    <t>Data Engineer (Hybrid location)</t>
  </si>
  <si>
    <t>Columbia Sportswear</t>
  </si>
  <si>
    <t>['sql', 'azure', 'databricks', 'pyspark']</t>
  </si>
  <si>
    <t>Sr Business Data Analyst - Now Hiring</t>
  </si>
  <si>
    <t>Westwood, MA</t>
  </si>
  <si>
    <t>Citizens</t>
  </si>
  <si>
    <t>['sas', 'sas', 'sql', 'oracle', 'redshift', 'windows', 'tableau']</t>
  </si>
  <si>
    <t>['go', 'flow']</t>
  </si>
  <si>
    <t>(Senior) Machine Learning Inference Engineer</t>
  </si>
  <si>
    <t>Munich, Germany</t>
  </si>
  <si>
    <t>Brainlab</t>
  </si>
  <si>
    <t>AstraZeneca</t>
  </si>
  <si>
    <t>['swift', 'python', 'sql', 'redshift', 'oracle', 'aws', 'databricks', 'pandas', 'numpy', 'kubernetes', 'bitbucket', 'git']</t>
  </si>
  <si>
    <t>Senior Data Engineer (Python / AWS) - Now Hiring</t>
  </si>
  <si>
    <t>Matthews, NC</t>
  </si>
  <si>
    <t>['python', 'aws', 'aurora']</t>
  </si>
  <si>
    <t>CA-One Tech Cloud Inc.</t>
  </si>
  <si>
    <t>['python', 'sql', 'azure', 'databricks']</t>
  </si>
  <si>
    <t>Data Engineer (TS/SCI)</t>
  </si>
  <si>
    <t>Spring Lake, NC</t>
  </si>
  <si>
    <t>via Spring Lake NC Geebo.com Free Classifieds Ads - Geebo</t>
  </si>
  <si>
    <t>Gables Search Group</t>
  </si>
  <si>
    <t>['java', 'python', 'pandas', 'pyspark', 'hadoop', 'github']</t>
  </si>
  <si>
    <t>Seville, Spain</t>
  </si>
  <si>
    <t>AxesinMotion</t>
  </si>
  <si>
    <t>Research Analyst (Data Scientist II) - Now Hiring</t>
  </si>
  <si>
    <t>CNA Corporation</t>
  </si>
  <si>
    <t>Business System Analyst</t>
  </si>
  <si>
    <t>Arthur Grand Technologies Inc</t>
  </si>
  <si>
    <t>DBI - Sr. Data Science Analyst (Non-Civil Service)</t>
  </si>
  <si>
    <t>City of Dallas, TX</t>
  </si>
  <si>
    <t>['matlab', 'keras', 'tensorflow', 'pytorch', 'tableau', 'spss']</t>
  </si>
  <si>
    <t>Senior Data Scientist Digital Effectiveness Operations ...</t>
  </si>
  <si>
    <t>Derby, KS</t>
  </si>
  <si>
    <t>['sql', 'python', 'aws', 'pandas', 'numpy', 'scikit-learn', 'pyspark', 'tableau', 'git']</t>
  </si>
  <si>
    <t>Systems &amp; Data Engineer</t>
  </si>
  <si>
    <t>Boston, MA</t>
  </si>
  <si>
    <t>New England Board of Higher Education</t>
  </si>
  <si>
    <t>['sql', 'python', 'r', 'java', 'scala', 'aws', 'azure', 'tableau']</t>
  </si>
  <si>
    <t>2024 University Graduate - Data Science Engineer - Now Hiring</t>
  </si>
  <si>
    <t>Adobe</t>
  </si>
  <si>
    <t>['sql', 'mongo', 'python', 'r', 'aws', 'azure', 'openstack', 'hadoop']</t>
  </si>
  <si>
    <t>Sr. Data Engineer (On-site NYC)</t>
  </si>
  <si>
    <t>Oakridge Staffing</t>
  </si>
  <si>
    <t>['python', 'sql', 'postgresql', 'aws', 'redshift', 'bigquery', 'spark', 'airflow', 'looker', 'docker']</t>
  </si>
  <si>
    <t>Data Scientist Jobs</t>
  </si>
  <si>
    <t>via Clearance Jobs</t>
  </si>
  <si>
    <t>STEMboard</t>
  </si>
  <si>
    <t>['r', 'python', 'databricks', 'ibm cloud', 'snowflake', 'numpy', 'pandas', 'tableau', 'power bi']</t>
  </si>
  <si>
    <t>Senior Data Engineer (Python, AWS, Airflow, Snowflake)</t>
  </si>
  <si>
    <t>['python', 'java', 'scala', 'nosql', 'sql', 'mongo', 'shell', 'mysql', 'cassandra', 'aws', 'snowflake', 'redshift', 'azure', 'airflow', 'hadoop', 'kafka', 'spark']</t>
  </si>
  <si>
    <t>Lead Data Engineer, Remote (Buffalo, NY)</t>
  </si>
  <si>
    <t>Buffalo, NY</t>
  </si>
  <si>
    <t>via Built In</t>
  </si>
  <si>
    <t>Delaware North</t>
  </si>
  <si>
    <t>['python', 'mongodb', 'mongodb', 'javascript', 'nosql', 'postgresql', 'mysql', 'redshift', 'airflow', 'django']</t>
  </si>
  <si>
    <t>Visa</t>
  </si>
  <si>
    <t>['python', 'sql', 'aws', 'gcp', 'azure', 'hadoop', 'spark', 'pandas', 'numpy', 'ssis', 'tableau', 'power bi']</t>
  </si>
  <si>
    <t>HirePlace</t>
  </si>
  <si>
    <t>['no-sql', 'sql', 'python', 'scala', 'java', 'bash', 'powershell', 'azure', 'databricks', 'spark']</t>
  </si>
  <si>
    <t>Cedar Rapids, IA</t>
  </si>
  <si>
    <t>['sql', 'go', 'sql server', 'azure', 'databricks', 'spark', 'kafka', 'ssis']</t>
  </si>
  <si>
    <t>Data Visualization Engineer</t>
  </si>
  <si>
    <t>iShare Inc.</t>
  </si>
  <si>
    <t>Texas</t>
  </si>
  <si>
    <t>InterEx Group</t>
  </si>
  <si>
    <t>['python', 'sql', 'postgresql', 'mysql', 'aws', 'redshift', 'snowflake', 'spark', 'docker', 'kubernetes']</t>
  </si>
  <si>
    <t>W2 Data Scientist</t>
  </si>
  <si>
    <t>['python', 'r', 'databricks', 'azure', 'alteryx']</t>
  </si>
  <si>
    <t>SAS Programming Data Analyst - Now Hiring</t>
  </si>
  <si>
    <t>University of Texas at Austin</t>
  </si>
  <si>
    <t>['sas', 'sas', 'c', 'excel']</t>
  </si>
  <si>
    <t>['sql', 'snowflake', 'jira']</t>
  </si>
  <si>
    <t>Waco, TX</t>
  </si>
  <si>
    <t>Glazer's Beer and Beverage of TX, LLC</t>
  </si>
  <si>
    <t>['c', 'word', 'excel', 'outlook']</t>
  </si>
  <si>
    <t>Data Scientist - Now Hiring</t>
  </si>
  <si>
    <t>Annandale, VA</t>
  </si>
  <si>
    <t>ECS Federal, LLC</t>
  </si>
  <si>
    <t>['sql', 'python', 'java', 'spark']</t>
  </si>
  <si>
    <t>Norfolk, VA</t>
  </si>
  <si>
    <t>PRA Group</t>
  </si>
  <si>
    <t>['t-sql', 'sql', 'sql server', 'azure', 'ssis']</t>
  </si>
  <si>
    <t>Data Scientist - Payments</t>
  </si>
  <si>
    <t>Rippling</t>
  </si>
  <si>
    <t>['c']</t>
  </si>
  <si>
    <t>Business Data Analyst</t>
  </si>
  <si>
    <t>Lincoln, RI</t>
  </si>
  <si>
    <t>Point32Health</t>
  </si>
  <si>
    <t>['sql', 'sas', 'sas']</t>
  </si>
  <si>
    <t>Count of job_title_short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</si>
</sst>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11"/>
      <color rgb="FF000000"/>
      <name val="Calibri"/>
      <family val="2"/>
    </font>
    <font>
      <b/>
      <sz val="1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bottom style="thin">
        <color indexed="64"/>
      </bottom>
      <diagonal/>
    </border>
  </borders>
  <cellStyleXfs count="1">
    <xf numFmtId="0" fontId="0" fillId="0" borderId="0"/>
  </cellStyleXfs>
  <cellXfs count="9">
    <xf numFmtId="0" fontId="0" fillId="0" borderId="0" xfId="0"/>
    <xf numFmtId="14" fontId="0" fillId="0" borderId="0" xfId="0" applyNumberFormat="1"/>
    <xf numFmtId="0" fontId="1" fillId="0" borderId="0" xfId="0" applyFont="1"/>
    <xf numFmtId="0" fontId="0" fillId="2" borderId="0" xfId="0" applyFill="1"/>
    <xf numFmtId="0" fontId="0" fillId="0" borderId="0" xfId="0" pivotButton="1"/>
    <xf numFmtId="0" fontId="0" fillId="0" borderId="0" xfId="0" applyAlignment="1">
      <alignment horizontal="left"/>
    </xf>
    <xf numFmtId="0" fontId="0" fillId="0" borderId="0" xfId="0" applyNumberFormat="1"/>
    <xf numFmtId="22" fontId="1" fillId="0" borderId="0" xfId="0" applyNumberFormat="1" applyFont="1"/>
    <xf numFmtId="0" fontId="2" fillId="0" borderId="1" xfId="0" applyFont="1" applyBorder="1" applyAlignment="1">
      <alignment horizontal="center" vertical="top"/>
    </xf>
  </cellXfs>
  <cellStyles count="1">
    <cellStyle name="Normal" xfId="0" builtinId="0"/>
  </cellStyles>
  <dxfs count="22">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numFmt numFmtId="27" formatCode="dd/mm/yyyy\ hh:mm"/>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border outline="0">
        <bottom style="thin">
          <color indexed="64"/>
        </bottom>
      </border>
    </dxf>
    <dxf>
      <border outline="0">
        <top style="thin">
          <color indexed="64"/>
        </top>
      </border>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[Day11.xlsx]Sheet3!PivotTable2</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Sheet3!$C$5</c:f>
              <c:strCache>
                <c:ptCount val="1"/>
                <c:pt idx="0">
                  <c:v>Total</c:v>
                </c:pt>
              </c:strCache>
            </c:strRef>
          </c:tx>
          <c:spPr>
            <a:solidFill>
              <a:schemeClr val="accent1"/>
            </a:solidFill>
            <a:ln>
              <a:noFill/>
            </a:ln>
            <a:effectLst/>
          </c:spPr>
          <c:invertIfNegative val="0"/>
          <c:cat>
            <c:strRef>
              <c:f>Sheet3!$B$6:$B$8</c:f>
              <c:strCache>
                <c:ptCount val="2"/>
                <c:pt idx="0">
                  <c:v>United States</c:v>
                </c:pt>
                <c:pt idx="1">
                  <c:v>Sudan</c:v>
                </c:pt>
              </c:strCache>
            </c:strRef>
          </c:cat>
          <c:val>
            <c:numRef>
              <c:f>Sheet3!$C$6:$C$8</c:f>
              <c:numCache>
                <c:formatCode>General</c:formatCode>
                <c:ptCount val="2"/>
                <c:pt idx="0">
                  <c:v>17</c:v>
                </c:pt>
                <c:pt idx="1">
                  <c:v>2</c:v>
                </c:pt>
              </c:numCache>
            </c:numRef>
          </c:val>
          <c:extLst>
            <c:ext xmlns:c16="http://schemas.microsoft.com/office/drawing/2014/chart" uri="{C3380CC4-5D6E-409C-BE32-E72D297353CC}">
              <c16:uniqueId val="{00000000-7080-9D47-BE48-0343A3B5DBEC}"/>
            </c:ext>
          </c:extLst>
        </c:ser>
        <c:dLbls>
          <c:showLegendKey val="0"/>
          <c:showVal val="0"/>
          <c:showCatName val="0"/>
          <c:showSerName val="0"/>
          <c:showPercent val="0"/>
          <c:showBubbleSize val="0"/>
        </c:dLbls>
        <c:gapWidth val="219"/>
        <c:overlap val="-27"/>
        <c:axId val="1063143168"/>
        <c:axId val="1063155264"/>
      </c:barChart>
      <c:catAx>
        <c:axId val="1063143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3155264"/>
        <c:crosses val="autoZero"/>
        <c:auto val="1"/>
        <c:lblAlgn val="ctr"/>
        <c:lblOffset val="100"/>
        <c:noMultiLvlLbl val="0"/>
      </c:catAx>
      <c:valAx>
        <c:axId val="1063155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3143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3</xdr:col>
      <xdr:colOff>1113970</xdr:colOff>
      <xdr:row>1</xdr:row>
      <xdr:rowOff>119441</xdr:rowOff>
    </xdr:from>
    <xdr:to>
      <xdr:col>9</xdr:col>
      <xdr:colOff>143631</xdr:colOff>
      <xdr:row>16</xdr:row>
      <xdr:rowOff>45358</xdr:rowOff>
    </xdr:to>
    <mc:AlternateContent xmlns:mc="http://schemas.openxmlformats.org/markup-compatibility/2006">
      <mc:Choice xmlns:a14="http://schemas.microsoft.com/office/drawing/2010/main" Requires="a14">
        <xdr:graphicFrame macro="">
          <xdr:nvGraphicFramePr>
            <xdr:cNvPr id="4" name="job_via">
              <a:extLst>
                <a:ext uri="{FF2B5EF4-FFF2-40B4-BE49-F238E27FC236}">
                  <a16:creationId xmlns:a16="http://schemas.microsoft.com/office/drawing/2014/main" id="{34380E6D-624E-BA3D-69B2-39237D774376}"/>
                </a:ext>
              </a:extLst>
            </xdr:cNvPr>
            <xdr:cNvGraphicFramePr/>
          </xdr:nvGraphicFramePr>
          <xdr:xfrm>
            <a:off x="0" y="0"/>
            <a:ext cx="0" cy="0"/>
          </xdr:xfrm>
          <a:graphic>
            <a:graphicData uri="http://schemas.microsoft.com/office/drawing/2010/slicer">
              <sle:slicer xmlns:sle="http://schemas.microsoft.com/office/drawing/2010/slicer" name="job_via"/>
            </a:graphicData>
          </a:graphic>
        </xdr:graphicFrame>
      </mc:Choice>
      <mc:Fallback>
        <xdr:sp macro="" textlink="">
          <xdr:nvSpPr>
            <xdr:cNvPr id="0" name=""/>
            <xdr:cNvSpPr>
              <a:spLocks noTextEdit="1"/>
            </xdr:cNvSpPr>
          </xdr:nvSpPr>
          <xdr:spPr>
            <a:xfrm>
              <a:off x="4493077" y="323548"/>
              <a:ext cx="4525435" cy="298752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8</xdr:row>
      <xdr:rowOff>0</xdr:rowOff>
    </xdr:from>
    <xdr:to>
      <xdr:col>7</xdr:col>
      <xdr:colOff>635000</xdr:colOff>
      <xdr:row>22</xdr:row>
      <xdr:rowOff>152400</xdr:rowOff>
    </xdr:to>
    <mc:AlternateContent xmlns:mc="http://schemas.openxmlformats.org/markup-compatibility/2006">
      <mc:Choice xmlns:a14="http://schemas.microsoft.com/office/drawing/2010/main" Requires="a14">
        <xdr:graphicFrame macro="">
          <xdr:nvGraphicFramePr>
            <xdr:cNvPr id="2" name="job_via 1">
              <a:extLst>
                <a:ext uri="{FF2B5EF4-FFF2-40B4-BE49-F238E27FC236}">
                  <a16:creationId xmlns:a16="http://schemas.microsoft.com/office/drawing/2014/main" id="{67CAADF7-ED3D-544B-9BC1-23D57A6BFD5F}"/>
                </a:ext>
              </a:extLst>
            </xdr:cNvPr>
            <xdr:cNvGraphicFramePr/>
          </xdr:nvGraphicFramePr>
          <xdr:xfrm>
            <a:off x="0" y="0"/>
            <a:ext cx="0" cy="0"/>
          </xdr:xfrm>
          <a:graphic>
            <a:graphicData uri="http://schemas.microsoft.com/office/drawing/2010/slicer">
              <sle:slicer xmlns:sle="http://schemas.microsoft.com/office/drawing/2010/slicer" name="job_via 1"/>
            </a:graphicData>
          </a:graphic>
        </xdr:graphicFrame>
      </mc:Choice>
      <mc:Fallback>
        <xdr:sp macro="" textlink="">
          <xdr:nvSpPr>
            <xdr:cNvPr id="0" name=""/>
            <xdr:cNvSpPr>
              <a:spLocks noTextEdit="1"/>
            </xdr:cNvSpPr>
          </xdr:nvSpPr>
          <xdr:spPr>
            <a:xfrm>
              <a:off x="825500" y="1625600"/>
              <a:ext cx="5588000" cy="29972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368300</xdr:colOff>
      <xdr:row>9</xdr:row>
      <xdr:rowOff>0</xdr:rowOff>
    </xdr:from>
    <xdr:to>
      <xdr:col>18</xdr:col>
      <xdr:colOff>406400</xdr:colOff>
      <xdr:row>30</xdr:row>
      <xdr:rowOff>114300</xdr:rowOff>
    </xdr:to>
    <xdr:graphicFrame macro="">
      <xdr:nvGraphicFramePr>
        <xdr:cNvPr id="3" name="Chart 2">
          <a:extLst>
            <a:ext uri="{FF2B5EF4-FFF2-40B4-BE49-F238E27FC236}">
              <a16:creationId xmlns:a16="http://schemas.microsoft.com/office/drawing/2014/main" id="{86368BC7-D779-3A4C-AF0D-AC67846834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refreshedDate="46088.919492939815" createdVersion="8" refreshedVersion="8" minRefreshableVersion="3" recordCount="200" xr:uid="{4EF56AFC-F280-9E4E-AB4A-DA87BAA39719}">
  <cacheSource type="worksheet">
    <worksheetSource name="emp_data"/>
  </cacheSource>
  <cacheFields count="18">
    <cacheField name="job_title_short" numFmtId="0">
      <sharedItems count="10">
        <s v="Senior Data Scientist"/>
        <s v="Data Engineer"/>
        <s v="Senior Data Analyst"/>
        <s v="Machine Learning Engineer"/>
        <s v="Data Scientist"/>
        <s v="Senior Data Engineer"/>
        <s v="Data Analyst"/>
        <s v="Software Engineer"/>
        <s v="Business Analyst"/>
        <s v="Cloud Engineer"/>
      </sharedItems>
    </cacheField>
    <cacheField name="job_title" numFmtId="0">
      <sharedItems/>
    </cacheField>
    <cacheField name="job_location" numFmtId="0">
      <sharedItems containsBlank="1"/>
    </cacheField>
    <cacheField name="job_via" numFmtId="0">
      <sharedItems count="27">
        <s v="via ZipRecruiter"/>
        <s v="via Indeed"/>
        <s v="via Ai-Jobs.net"/>
        <s v="via Snagajob"/>
        <s v="via LinkedIn"/>
        <s v="via Hitmarker"/>
        <s v="via Ladders"/>
        <s v="via Federal Government Jobs"/>
        <s v="via SaluteMyJob"/>
        <s v="via JobAffairs4u.com"/>
        <s v="via Las Vegas, NV - Geebo"/>
        <s v="via Motion Recruitment"/>
        <s v="via Dice"/>
        <s v="via JobServe"/>
        <s v="via Get.It"/>
        <s v="via Y Combinator"/>
        <s v="via Upwork"/>
        <s v="via Dice.com"/>
        <s v="via Genesis10 - Talentify"/>
        <s v="via BeBee"/>
        <s v="via Adzuna"/>
        <s v="via Talent.com"/>
        <s v="via WDHN Jobs"/>
        <s v="via WJHL Jobs"/>
        <s v="via Spring Lake NC Geebo.com Free Classifieds Ads - Geebo"/>
        <s v="via Clearance Jobs"/>
        <s v="via Built In"/>
      </sharedItems>
    </cacheField>
    <cacheField name="job_schedule_type" numFmtId="0">
      <sharedItems containsBlank="1" count="9">
        <s v="Full-time"/>
        <s v="Full-time and Part-time"/>
        <s v="Contractor"/>
        <s v="Full-time, Part-time, and Internship"/>
        <s v="Part-time"/>
        <s v="Contractor and Temp work"/>
        <m/>
        <s v="Full-time and Temp work"/>
        <s v="Full-time and Contractor"/>
      </sharedItems>
    </cacheField>
    <cacheField name="job_work_from_home" numFmtId="0">
      <sharedItems/>
    </cacheField>
    <cacheField name="search_location" numFmtId="0">
      <sharedItems/>
    </cacheField>
    <cacheField name="JOB_month" numFmtId="0">
      <sharedItems/>
    </cacheField>
    <cacheField name="job_posted_date" numFmtId="22">
      <sharedItems containsSemiMixedTypes="0" containsNonDate="0" containsDate="1" containsString="0" minDate="2023-01-02T15:01:03" maxDate="2023-12-31T02:29:17"/>
    </cacheField>
    <cacheField name="job_no_degree_mention" numFmtId="0">
      <sharedItems/>
    </cacheField>
    <cacheField name="job_health_insurance" numFmtId="0">
      <sharedItems/>
    </cacheField>
    <cacheField name="job_country" numFmtId="0">
      <sharedItems count="13">
        <s v="Sudan"/>
        <s v="United States"/>
        <s v="France"/>
        <s v="Mexico"/>
        <s v="Canada"/>
        <s v="Croatia"/>
        <s v="Germany"/>
        <s v="Spain"/>
        <s v="India"/>
        <s v="Estonia"/>
        <s v="Greece"/>
        <s v="Brazil"/>
        <s v="Cyprus"/>
      </sharedItems>
      <fieldGroup par="17"/>
    </cacheField>
    <cacheField name="salary_rate" numFmtId="0">
      <sharedItems/>
    </cacheField>
    <cacheField name="salary_year_avg" numFmtId="0">
      <sharedItems containsString="0" containsBlank="1" containsNumber="1" minValue="50400" maxValue="324000"/>
    </cacheField>
    <cacheField name="salary_hour_avg" numFmtId="0">
      <sharedItems containsString="0" containsBlank="1" containsNumber="1" minValue="8" maxValue="100"/>
    </cacheField>
    <cacheField name="company_name" numFmtId="0">
      <sharedItems containsMixedTypes="1" containsNumber="1" containsInteger="1" minValue="9992" maxValue="9992"/>
    </cacheField>
    <cacheField name="job_skills" numFmtId="0">
      <sharedItems containsBlank="1"/>
    </cacheField>
    <cacheField name="job_country2" numFmtId="0" databaseField="0">
      <fieldGroup base="11">
        <discretePr count="13">
          <x v="0"/>
          <x v="1"/>
          <x v="3"/>
          <x v="3"/>
          <x v="3"/>
          <x v="3"/>
          <x v="4"/>
          <x v="4"/>
          <x v="2"/>
          <x v="3"/>
          <x v="3"/>
          <x v="3"/>
          <x v="3"/>
        </discretePr>
        <groupItems count="5">
          <s v="Sudan"/>
          <s v="United States"/>
          <s v="India"/>
          <s v="Group1"/>
          <s v="Group2"/>
        </groupItems>
      </fieldGroup>
    </cacheField>
  </cacheFields>
  <extLst>
    <ext xmlns:x14="http://schemas.microsoft.com/office/spreadsheetml/2009/9/main" uri="{725AE2AE-9491-48be-B2B4-4EB974FC3084}">
      <x14:pivotCacheDefinition pivotCacheId="64592944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x v="0"/>
    <s v="Senior Data Scientist Data and Analytics Performance Operations"/>
    <s v="Bennington, NE"/>
    <x v="0"/>
    <x v="0"/>
    <b v="0"/>
    <s v="Sudan"/>
    <s v="April"/>
    <d v="2023-04-24T09:51:15"/>
    <b v="0"/>
    <b v="1"/>
    <x v="0"/>
    <s v="year"/>
    <n v="128050"/>
    <m/>
    <s v="Cox Communications"/>
    <s v="['sql', 'python', 'aws', 'pyspark', 'tableau', 'power bi', 'git']"/>
  </r>
  <r>
    <x v="1"/>
    <s v="Data Engineer - MA"/>
    <s v="Mesa, AZ"/>
    <x v="1"/>
    <x v="0"/>
    <b v="0"/>
    <s v="Georgia"/>
    <s v="March"/>
    <d v="2023-03-13T12:51:23"/>
    <b v="1"/>
    <b v="1"/>
    <x v="1"/>
    <s v="year"/>
    <n v="140000"/>
    <m/>
    <s v="Worldgate LLC"/>
    <s v="['sql', 'nosql', 'java', 'python', 'kafka', 'spark', 'hadoop']"/>
  </r>
  <r>
    <x v="2"/>
    <s v="Supervisory Information Technology Specialist (Associate Director..."/>
    <s v="Alexandria, VA"/>
    <x v="0"/>
    <x v="0"/>
    <b v="0"/>
    <s v="New York, United States"/>
    <s v="July"/>
    <d v="2023-07-05T07:03:38"/>
    <b v="1"/>
    <b v="0"/>
    <x v="1"/>
    <s v="year"/>
    <n v="156000"/>
    <m/>
    <s v="National Technical Information Service"/>
    <m/>
  </r>
  <r>
    <x v="3"/>
    <s v="Machine Learning Research Scientist"/>
    <s v="Pittsburgh, PA"/>
    <x v="2"/>
    <x v="0"/>
    <b v="0"/>
    <s v="Illinois, United States"/>
    <s v="April"/>
    <d v="2023-04-13T16:05:41"/>
    <b v="0"/>
    <b v="1"/>
    <x v="1"/>
    <s v="year"/>
    <n v="140000"/>
    <m/>
    <s v="Bosch Group"/>
    <s v="['pytorch', 'tensorflow']"/>
  </r>
  <r>
    <x v="4"/>
    <s v="Data Scientist, AWS"/>
    <s v="Irving, TX"/>
    <x v="3"/>
    <x v="1"/>
    <b v="0"/>
    <s v="Texas, United States"/>
    <s v="October"/>
    <d v="2023-10-15T06:02:51"/>
    <b v="0"/>
    <b v="0"/>
    <x v="1"/>
    <s v="hour"/>
    <m/>
    <n v="39.795001980000002"/>
    <s v="Presidio, Inc."/>
    <s v="['python', 'r', 'sql', 'c', 'aws', 'gcp', 'bigquery', 'hadoop', 'scikit-learn', 'tensorflow', 'keras', 'pytorch', 'mxnet', 'matplotlib', 'seaborn', 'ggplot2', 'spark', 'tableau', 'git']"/>
  </r>
  <r>
    <x v="1"/>
    <s v="Data Engineer"/>
    <s v="Tysons, VA"/>
    <x v="3"/>
    <x v="1"/>
    <b v="0"/>
    <s v="Sudan"/>
    <s v="October"/>
    <d v="2023-10-10T06:19:50"/>
    <b v="0"/>
    <b v="0"/>
    <x v="0"/>
    <s v="hour"/>
    <m/>
    <n v="61.159996030000002"/>
    <s v="LMI Consulting, LLC"/>
    <s v="['python', 'java', 'sql', 'snowflake', 'pyspark', 'scikit-learn']"/>
  </r>
  <r>
    <x v="1"/>
    <s v="Sr. Data Engineer (remote)"/>
    <s v="Anywhere"/>
    <x v="1"/>
    <x v="0"/>
    <b v="1"/>
    <s v="Texas, United States"/>
    <s v="October"/>
    <d v="2023-10-26T19:07:59"/>
    <b v="0"/>
    <b v="1"/>
    <x v="1"/>
    <s v="year"/>
    <n v="135000"/>
    <m/>
    <s v="MultiPlan Inc."/>
    <s v="['python', 'java', 'sql', 'nosql', 'mongodb', 'mongodb', 'azure', 'snowflake', 'kafka', 'spark', 'hadoop', 'docker', 'kubernetes']"/>
  </r>
  <r>
    <x v="5"/>
    <s v="Senior Data Engineer - Cloud Infrastructure and Video"/>
    <s v="Coplay, PA"/>
    <x v="0"/>
    <x v="0"/>
    <b v="0"/>
    <s v="Illinois, United States"/>
    <s v="September"/>
    <d v="2023-09-08T22:31:10"/>
    <b v="0"/>
    <b v="0"/>
    <x v="1"/>
    <s v="year"/>
    <n v="120000"/>
    <m/>
    <s v="Sports Info Solutions"/>
    <s v="['python', 'rust', 'c++', 'java', 'aws', 'gcp', 'azure']"/>
  </r>
  <r>
    <x v="2"/>
    <s v="Senior Data Analyst Remote"/>
    <s v="Anywhere"/>
    <x v="0"/>
    <x v="0"/>
    <b v="1"/>
    <s v="California, United States"/>
    <s v="September"/>
    <d v="2023-09-07T08:01:13"/>
    <b v="1"/>
    <b v="0"/>
    <x v="1"/>
    <s v="year"/>
    <n v="170000"/>
    <m/>
    <s v="Arsenault"/>
    <s v="['sql', 'nosql', 'python', 'tableau']"/>
  </r>
  <r>
    <x v="4"/>
    <s v="Data Scientist - TikTok Ads"/>
    <s v="Mountain View, CA"/>
    <x v="4"/>
    <x v="0"/>
    <b v="0"/>
    <s v="California, United States"/>
    <s v="January"/>
    <d v="2023-01-02T15:01:03"/>
    <b v="0"/>
    <b v="1"/>
    <x v="1"/>
    <s v="year"/>
    <n v="224500"/>
    <m/>
    <s v="TikTok"/>
    <s v="['r', 'python', 'matlab', 'sql']"/>
  </r>
  <r>
    <x v="4"/>
    <s v="University Grad Data Science (PhD Only) - Now Hiring"/>
    <s v="San Francisco, CA"/>
    <x v="3"/>
    <x v="1"/>
    <b v="0"/>
    <s v="California, United States"/>
    <s v="October"/>
    <d v="2023-10-09T18:25:17"/>
    <b v="0"/>
    <b v="0"/>
    <x v="1"/>
    <s v="hour"/>
    <m/>
    <n v="53.385002139999997"/>
    <s v="Pinterest"/>
    <m/>
  </r>
  <r>
    <x v="4"/>
    <s v="Staff Data Scientist - Riot Data, Emerging Games"/>
    <s v="Los Angeles, CA (+1 other)"/>
    <x v="5"/>
    <x v="0"/>
    <b v="0"/>
    <s v="California, United States"/>
    <s v="April"/>
    <d v="2023-04-05T10:03:24"/>
    <b v="0"/>
    <b v="1"/>
    <x v="1"/>
    <s v="year"/>
    <n v="225000"/>
    <m/>
    <s v="Riot Games"/>
    <s v="['python', 'sql', 'scikit-learn', 'spark', 'airflow']"/>
  </r>
  <r>
    <x v="1"/>
    <s v="Data Engineer - Now Hiring"/>
    <s v="Bellevue, WA"/>
    <x v="3"/>
    <x v="1"/>
    <b v="0"/>
    <s v="California, United States"/>
    <s v="October"/>
    <d v="2023-10-09T02:05:57"/>
    <b v="0"/>
    <b v="0"/>
    <x v="1"/>
    <s v="hour"/>
    <m/>
    <n v="64.440002440000001"/>
    <s v="Northwest Software, Inc"/>
    <s v="['sql', 'nosql', 'python', 'go', 'c++', 'postgresql', 'aws', 'azure', 'airflow', 'spark', 'pytorch', 'tensorflow', 'kafka', 'kubernetes']"/>
  </r>
  <r>
    <x v="4"/>
    <s v="Data Scientist - Technical Platform"/>
    <s v="Mountain View, CA"/>
    <x v="4"/>
    <x v="0"/>
    <b v="0"/>
    <s v="California, United States"/>
    <s v="January"/>
    <d v="2023-01-12T04:04:48"/>
    <b v="0"/>
    <b v="1"/>
    <x v="1"/>
    <s v="year"/>
    <n v="157500"/>
    <m/>
    <s v="TikTok"/>
    <s v="['sql', 'python']"/>
  </r>
  <r>
    <x v="6"/>
    <s v="Sr/Lead Data Analyst LIVE - USDS"/>
    <s v="Los Angeles, CA"/>
    <x v="1"/>
    <x v="0"/>
    <b v="0"/>
    <s v="California, United States"/>
    <s v="October"/>
    <d v="2023-10-03T09:00:56"/>
    <b v="0"/>
    <b v="1"/>
    <x v="1"/>
    <s v="year"/>
    <n v="149508.5"/>
    <m/>
    <s v="TikTok"/>
    <s v="['sql', 'python', 'express']"/>
  </r>
  <r>
    <x v="4"/>
    <s v="Data Scientist"/>
    <s v="Anywhere"/>
    <x v="4"/>
    <x v="2"/>
    <b v="1"/>
    <s v="Florida, United States"/>
    <s v="October"/>
    <d v="2023-10-20T16:08:08"/>
    <b v="0"/>
    <b v="0"/>
    <x v="1"/>
    <s v="hour"/>
    <m/>
    <n v="55"/>
    <s v="Forsyth Barnes"/>
    <m/>
  </r>
  <r>
    <x v="1"/>
    <s v="Mid to Senior Level Data Engineer--Consulting Services--Mainly..."/>
    <s v="Colorado"/>
    <x v="4"/>
    <x v="0"/>
    <b v="0"/>
    <s v="Texas, United States"/>
    <s v="December"/>
    <d v="2023-12-17T13:06:51"/>
    <b v="0"/>
    <b v="0"/>
    <x v="1"/>
    <s v="year"/>
    <n v="112500"/>
    <m/>
    <s v="EMW Staffing Solutions LLC"/>
    <s v="['nosql', 'sql', 'sql server', 'mysql', 'oracle', 'redshift', 'snowflake', 'azure', 'bigquery', 'aws', 'excel', 'power bi', 'tableau']"/>
  </r>
  <r>
    <x v="1"/>
    <s v="Data Engineer"/>
    <s v="Cupertino, CA"/>
    <x v="6"/>
    <x v="0"/>
    <b v="0"/>
    <s v="California, United States"/>
    <s v="June"/>
    <d v="2023-06-10T09:04:59"/>
    <b v="0"/>
    <b v="1"/>
    <x v="1"/>
    <s v="year"/>
    <n v="115000"/>
    <m/>
    <s v="Volt Technical Resources"/>
    <s v="['python', 'sql', 'aws']"/>
  </r>
  <r>
    <x v="4"/>
    <s v="Data Scientist"/>
    <s v="Huntsville, AL"/>
    <x v="7"/>
    <x v="0"/>
    <b v="0"/>
    <s v="Illinois, United States"/>
    <s v="August"/>
    <d v="2023-08-16T00:04:31"/>
    <b v="0"/>
    <b v="0"/>
    <x v="1"/>
    <s v="year"/>
    <n v="98901.5"/>
    <m/>
    <s v="U.S. Army Corps of Engineers"/>
    <s v="['python', 'sql', 'sas', 'sas', 'oracle', 'tableau']"/>
  </r>
  <r>
    <x v="5"/>
    <s v="Senior Data Engineer (Hybrid)"/>
    <s v="Annapolis, MD"/>
    <x v="8"/>
    <x v="1"/>
    <b v="0"/>
    <s v="Illinois, United States"/>
    <s v="December"/>
    <d v="2023-12-19T07:09:44"/>
    <b v="0"/>
    <b v="1"/>
    <x v="1"/>
    <s v="year"/>
    <n v="173500"/>
    <m/>
    <s v="Capital One"/>
    <s v="['scala', 'nosql', 'python', 'sql', 'java', 'mongo', 'shell', 'mysql', 'cassandra', 'aws', 'azure', 'redshift', 'snowflake', 'hadoop', 'spark', 'kafka', 'angular']"/>
  </r>
  <r>
    <x v="6"/>
    <s v="Data Analyst"/>
    <s v="York, PA"/>
    <x v="9"/>
    <x v="1"/>
    <b v="0"/>
    <s v="New York, United States"/>
    <s v="December"/>
    <d v="2023-12-17T11:00:19"/>
    <b v="0"/>
    <b v="0"/>
    <x v="1"/>
    <s v="hour"/>
    <m/>
    <n v="15"/>
    <s v="Jobs Near Me"/>
    <s v="['sql', 'javascript', 'sas', 'sas', 'excel', 'spss']"/>
  </r>
  <r>
    <x v="4"/>
    <s v="Data Scientist - Computer Vision"/>
    <s v="Paris, France"/>
    <x v="2"/>
    <x v="0"/>
    <b v="0"/>
    <s v="France"/>
    <s v="January"/>
    <d v="2023-01-30T08:13:55"/>
    <b v="0"/>
    <b v="0"/>
    <x v="2"/>
    <s v="year"/>
    <n v="88128"/>
    <m/>
    <s v="digiRocks"/>
    <s v="['python', 'c++', 'pytorch', 'tensorflow', 'keras']"/>
  </r>
  <r>
    <x v="0"/>
    <s v="Senior Data Scientist"/>
    <s v="Jacksonville, FL"/>
    <x v="4"/>
    <x v="0"/>
    <b v="0"/>
    <s v="Florida, United States"/>
    <s v="November"/>
    <d v="2023-11-03T18:04:07"/>
    <b v="0"/>
    <b v="1"/>
    <x v="1"/>
    <s v="year"/>
    <n v="170000"/>
    <m/>
    <s v="SoFi"/>
    <s v="['sql', 'python', 'excel', 'tableau']"/>
  </r>
  <r>
    <x v="1"/>
    <s v="Data Engineer"/>
    <s v="Anywhere"/>
    <x v="4"/>
    <x v="2"/>
    <b v="1"/>
    <s v="California, United States"/>
    <s v="July"/>
    <d v="2023-07-14T14:07:33"/>
    <b v="0"/>
    <b v="0"/>
    <x v="1"/>
    <s v="hour"/>
    <m/>
    <n v="42.5"/>
    <s v="Gravity IT Resources"/>
    <s v="['sql', 'sql server']"/>
  </r>
  <r>
    <x v="4"/>
    <s v="Marketing Data Scientist"/>
    <m/>
    <x v="4"/>
    <x v="2"/>
    <b v="0"/>
    <s v="New York, United States"/>
    <s v="July"/>
    <d v="2023-07-20T21:03:38"/>
    <b v="0"/>
    <b v="0"/>
    <x v="1"/>
    <s v="year"/>
    <n v="125000"/>
    <m/>
    <s v="Harnham"/>
    <s v="['sql', 'r', 'python']"/>
  </r>
  <r>
    <x v="1"/>
    <s v="Data Engineer III (Hybrid/Remote)"/>
    <s v="Seattle, WA"/>
    <x v="3"/>
    <x v="0"/>
    <b v="0"/>
    <s v="California, United States"/>
    <s v="August"/>
    <d v="2023-08-02T18:08:08"/>
    <b v="0"/>
    <b v="1"/>
    <x v="1"/>
    <s v="hour"/>
    <m/>
    <n v="64.440002440000001"/>
    <s v="American Family Mutual Insurance Company"/>
    <s v="['python', 'sql', 'nosql', 'aws', 'gcp', 'azure', 'spark', 'hadoop', 'docker', 'terraform', 'jenkins', 'git']"/>
  </r>
  <r>
    <x v="5"/>
    <s v="Senior Data Engineer, TikTok Multimedia"/>
    <s v="Seattle, WA"/>
    <x v="4"/>
    <x v="0"/>
    <b v="0"/>
    <s v="Sudan"/>
    <s v="November"/>
    <d v="2023-11-19T13:40:45"/>
    <b v="0"/>
    <b v="1"/>
    <x v="0"/>
    <s v="year"/>
    <n v="260775"/>
    <m/>
    <s v="TikTok"/>
    <s v="['sql', 'python', 'go', 'c++', 'hadoop', 'spark']"/>
  </r>
  <r>
    <x v="5"/>
    <s v="Senior Data Engineer"/>
    <s v="Alpharetta, GA"/>
    <x v="4"/>
    <x v="2"/>
    <b v="0"/>
    <s v="Florida, United States"/>
    <s v="February"/>
    <d v="2023-02-02T15:11:34"/>
    <b v="0"/>
    <b v="0"/>
    <x v="1"/>
    <s v="hour"/>
    <m/>
    <n v="69"/>
    <s v="Insight Global"/>
    <s v="['sql', 'python', 'java', 'azure', 'databricks', 'aws', 'redshift', 'hadoop', 'spark', 'pyspark']"/>
  </r>
  <r>
    <x v="5"/>
    <s v="Senior Data Engineer"/>
    <s v="Antioch, IL"/>
    <x v="6"/>
    <x v="0"/>
    <b v="0"/>
    <s v="Illinois, United States"/>
    <s v="July"/>
    <d v="2023-07-04T06:08:43"/>
    <b v="0"/>
    <b v="0"/>
    <x v="1"/>
    <s v="year"/>
    <n v="125000"/>
    <m/>
    <s v="AbbVie"/>
    <s v="['sql', 'python', 'sas', 'sas', 'r', 'oracle', 'aws', 'spark', 'airflow']"/>
  </r>
  <r>
    <x v="4"/>
    <s v="Senior Actuarial Consultant and Data Scientist - Remote"/>
    <s v="Las Vegas, NV"/>
    <x v="10"/>
    <x v="0"/>
    <b v="0"/>
    <s v="California, United States"/>
    <s v="January"/>
    <d v="2023-01-27T00:05:41"/>
    <b v="0"/>
    <b v="1"/>
    <x v="1"/>
    <s v="hour"/>
    <m/>
    <n v="24"/>
    <s v="UnitedHealth Group"/>
    <s v="['r', 'python', 'vba', 'sas', 'sas', 'sql', 'databricks', 'excel']"/>
  </r>
  <r>
    <x v="6"/>
    <s v="HR Data Risk &amp; Control Analyst (Hybrid)"/>
    <s v="Irving, TX"/>
    <x v="6"/>
    <x v="0"/>
    <b v="0"/>
    <s v="Texas, United States"/>
    <s v="June"/>
    <d v="2023-06-19T08:01:23"/>
    <b v="0"/>
    <b v="0"/>
    <x v="1"/>
    <s v="year"/>
    <n v="125000"/>
    <m/>
    <s v="Citigroup, Inc"/>
    <m/>
  </r>
  <r>
    <x v="4"/>
    <s v="Intern - Data Scientist - Summer 2024 - Now Hiring"/>
    <s v="Anywhere"/>
    <x v="3"/>
    <x v="3"/>
    <b v="1"/>
    <s v="California, United States"/>
    <s v="October"/>
    <d v="2023-10-05T03:04:10"/>
    <b v="0"/>
    <b v="1"/>
    <x v="1"/>
    <s v="hour"/>
    <m/>
    <n v="25"/>
    <s v="Lumen"/>
    <s v="['sql', 'python', 'c', 'azure', 'kafka', 'jupyter']"/>
  </r>
  <r>
    <x v="1"/>
    <s v="Data Engineer"/>
    <m/>
    <x v="4"/>
    <x v="0"/>
    <b v="0"/>
    <s v="Florida, United States"/>
    <s v="March"/>
    <d v="2023-03-07T21:34:41"/>
    <b v="0"/>
    <b v="0"/>
    <x v="1"/>
    <s v="year"/>
    <n v="97500"/>
    <m/>
    <s v="Eliassen Group"/>
    <s v="['python', 'r', 'sas', 'sas', 'sql', 'postgresql', 'redshift', 'aws', 'hadoop', 'spark', 'unix', 'linux', 'terraform', 'ansible']"/>
  </r>
  <r>
    <x v="5"/>
    <s v="Senior Data Engineer (Remote, Publishing)"/>
    <s v="Anywhere"/>
    <x v="11"/>
    <x v="0"/>
    <b v="1"/>
    <s v="California, United States"/>
    <s v="June"/>
    <d v="2023-06-24T07:08:38"/>
    <b v="0"/>
    <b v="1"/>
    <x v="1"/>
    <s v="year"/>
    <n v="147500"/>
    <m/>
    <s v="Motion Recruitment"/>
    <s v="['python', 'sql', 'aws']"/>
  </r>
  <r>
    <x v="6"/>
    <s v="Data Analyst"/>
    <s v="New York, NY"/>
    <x v="1"/>
    <x v="0"/>
    <b v="0"/>
    <s v="New York, United States"/>
    <s v="February"/>
    <d v="2023-02-06T08:59:54"/>
    <b v="0"/>
    <b v="0"/>
    <x v="1"/>
    <s v="year"/>
    <n v="84000"/>
    <m/>
    <s v="New York University"/>
    <s v="['r', 'tableau', 'spss', 'sheets', 'excel']"/>
  </r>
  <r>
    <x v="1"/>
    <s v="Data Engineer - Clearance Required - Now Hiring"/>
    <s v="Tysons, VA"/>
    <x v="3"/>
    <x v="1"/>
    <b v="0"/>
    <s v="California, United States"/>
    <s v="November"/>
    <d v="2023-11-05T19:04:57"/>
    <b v="0"/>
    <b v="0"/>
    <x v="1"/>
    <s v="hour"/>
    <m/>
    <n v="61.159996030000002"/>
    <s v="LMI Consulting, LLC"/>
    <s v="['python', 'redis', 'cassandra', 'aws', 'kafka', 'hadoop', 'spark', 'kubernetes']"/>
  </r>
  <r>
    <x v="4"/>
    <s v="Data Scientist Digital Effectiveness Operations &amp; Technology Analytics"/>
    <s v="Sun City, AZ"/>
    <x v="0"/>
    <x v="0"/>
    <b v="0"/>
    <s v="California, United States"/>
    <s v="January"/>
    <d v="2023-01-29T10:04:53"/>
    <b v="0"/>
    <b v="1"/>
    <x v="1"/>
    <s v="year"/>
    <n v="105800"/>
    <m/>
    <s v="Cox Communications"/>
    <s v="['sql', 'python', 'aws', 'pandas', 'numpy', 'scikit-learn', 'pyspark', 'tableau']"/>
  </r>
  <r>
    <x v="1"/>
    <s v="Data Engineer"/>
    <s v="Malvern, PA"/>
    <x v="4"/>
    <x v="2"/>
    <b v="0"/>
    <s v="New York, United States"/>
    <s v="June"/>
    <d v="2023-06-26T15:05:36"/>
    <b v="0"/>
    <b v="0"/>
    <x v="1"/>
    <s v="hour"/>
    <m/>
    <n v="55"/>
    <s v="Insight Global"/>
    <s v="['go', 'python', 'sql', 'aws', 'pyspark']"/>
  </r>
  <r>
    <x v="5"/>
    <s v="Azure Solution Architect/Sr Data Engineer"/>
    <s v="Allendale, NJ"/>
    <x v="12"/>
    <x v="0"/>
    <b v="0"/>
    <s v="New York, United States"/>
    <s v="February"/>
    <d v="2023-02-16T23:06:59"/>
    <b v="1"/>
    <b v="0"/>
    <x v="1"/>
    <s v="year"/>
    <n v="160000"/>
    <m/>
    <s v="IDC Technologies"/>
    <s v="['sql', 'azure', 'oracle', 'excel']"/>
  </r>
  <r>
    <x v="4"/>
    <s v="Data Scientist"/>
    <s v="Santa Ana, CA"/>
    <x v="0"/>
    <x v="1"/>
    <b v="0"/>
    <s v="California, United States"/>
    <s v="October"/>
    <d v="2023-10-10T07:03:15"/>
    <b v="0"/>
    <b v="0"/>
    <x v="1"/>
    <s v="year"/>
    <n v="98496"/>
    <m/>
    <s v="Office of General Counsel"/>
    <m/>
  </r>
  <r>
    <x v="1"/>
    <s v="Data Engineer"/>
    <s v="Falls Church, VA"/>
    <x v="6"/>
    <x v="0"/>
    <b v="0"/>
    <s v="New York, United States"/>
    <s v="June"/>
    <d v="2023-06-24T10:07:24"/>
    <b v="0"/>
    <b v="1"/>
    <x v="1"/>
    <s v="year"/>
    <n v="115000"/>
    <m/>
    <s v="Northrop Grumman"/>
    <s v="['sql', 'python', 'r', 'java', 'sql server', 'azure', 'aws', 'alteryx', 'ssis', 'tableau']"/>
  </r>
  <r>
    <x v="1"/>
    <s v="Data Engineer, Data &amp; Insights - USDS"/>
    <s v="Seattle, WA"/>
    <x v="4"/>
    <x v="0"/>
    <b v="0"/>
    <s v="Georgia"/>
    <s v="November"/>
    <d v="2023-11-29T13:41:00"/>
    <b v="0"/>
    <b v="1"/>
    <x v="1"/>
    <s v="year"/>
    <n v="182500"/>
    <m/>
    <s v="TikTok"/>
    <s v="['swift', 'java', 'sql', 'nosql', 'cassandra', 'kafka', 'gdpr', 'express', 'flow']"/>
  </r>
  <r>
    <x v="1"/>
    <s v="Associate, Data Engineer"/>
    <s v="Grand Rapids, MI"/>
    <x v="3"/>
    <x v="0"/>
    <b v="0"/>
    <s v="Texas, United States"/>
    <s v="September"/>
    <d v="2023-09-04T06:06:42"/>
    <b v="0"/>
    <b v="1"/>
    <x v="1"/>
    <s v="hour"/>
    <m/>
    <n v="37.15499878"/>
    <s v="KPMG"/>
    <s v="['python', 'sql', 'go', 'jira']"/>
  </r>
  <r>
    <x v="5"/>
    <s v="Senior Data Engineer"/>
    <s v="Anywhere"/>
    <x v="4"/>
    <x v="0"/>
    <b v="1"/>
    <s v="New York, United States"/>
    <s v="September"/>
    <d v="2023-09-06T13:02:59"/>
    <b v="0"/>
    <b v="0"/>
    <x v="1"/>
    <s v="year"/>
    <n v="200000"/>
    <m/>
    <s v="M Science"/>
    <s v="['databricks', 'snowflake', 'aws', 'airflow', 'tableau', 'git']"/>
  </r>
  <r>
    <x v="7"/>
    <s v="Software Engineer - Data Engineering/Enterprise App Platforms"/>
    <s v="Anywhere"/>
    <x v="4"/>
    <x v="0"/>
    <b v="1"/>
    <s v="Mexico"/>
    <s v="October"/>
    <d v="2023-10-05T17:17:21"/>
    <b v="0"/>
    <b v="0"/>
    <x v="3"/>
    <s v="year"/>
    <n v="155000"/>
    <m/>
    <s v="Cisco"/>
    <s v="['python', 'golang', 'shell', 'java', 'javascript', 'html', 'css', 'sql', 'mongo', 'elasticsearch', 'sql server', 'neo4j', 'snowflake', 'oracle', 'aws', 'gcp', 'azure', 'kafka', 'angular', 'jquery', 'linux', 'github', 'jenkins', 'ansible']"/>
  </r>
  <r>
    <x v="1"/>
    <s v="Data Engineer"/>
    <s v="St. Louis, MO"/>
    <x v="13"/>
    <x v="0"/>
    <b v="0"/>
    <s v="Texas, United States"/>
    <s v="August"/>
    <d v="2023-08-08T10:08:26"/>
    <b v="0"/>
    <b v="1"/>
    <x v="1"/>
    <s v="year"/>
    <n v="102500"/>
    <m/>
    <s v="Federal Reserve System"/>
    <s v="['python', 'sql', 'postgresql', 'aws', 'pandas', 'flow', 'docker', 'git', 'terraform']"/>
  </r>
  <r>
    <x v="1"/>
    <s v="Associate, Data Engineer - Now Hiring"/>
    <s v="Pittsburgh, PA"/>
    <x v="3"/>
    <x v="0"/>
    <b v="0"/>
    <s v="New York, United States"/>
    <s v="September"/>
    <d v="2023-09-02T06:07:27"/>
    <b v="0"/>
    <b v="1"/>
    <x v="1"/>
    <s v="hour"/>
    <m/>
    <n v="38.215000150000002"/>
    <s v="KPMG"/>
    <s v="['python', 'sql', 'go', 'jira']"/>
  </r>
  <r>
    <x v="4"/>
    <s v="Data Scientist - Marketing Analytics"/>
    <s v="Irving, TX"/>
    <x v="4"/>
    <x v="0"/>
    <b v="0"/>
    <s v="Texas, United States"/>
    <s v="January"/>
    <d v="2023-01-24T16:02:05"/>
    <b v="0"/>
    <b v="1"/>
    <x v="1"/>
    <s v="year"/>
    <n v="115000"/>
    <m/>
    <s v="Cottonwood Financial"/>
    <s v="['sql', 'sas', 'sas', 'python', 'r']"/>
  </r>
  <r>
    <x v="4"/>
    <s v="Junior Data Scientist"/>
    <s v="Indianapolis, IN"/>
    <x v="12"/>
    <x v="0"/>
    <b v="0"/>
    <s v="Illinois, United States"/>
    <s v="September"/>
    <d v="2023-09-29T20:04:36"/>
    <b v="0"/>
    <b v="0"/>
    <x v="1"/>
    <s v="year"/>
    <n v="80000"/>
    <m/>
    <s v="Acadia Technologies, Inc."/>
    <m/>
  </r>
  <r>
    <x v="1"/>
    <s v="Data Engineer"/>
    <s v="Mossville, IL"/>
    <x v="4"/>
    <x v="2"/>
    <b v="0"/>
    <s v="Texas, United States"/>
    <s v="May"/>
    <d v="2023-05-02T20:11:21"/>
    <b v="0"/>
    <b v="1"/>
    <x v="1"/>
    <s v="hour"/>
    <m/>
    <n v="42.5"/>
    <s v="Aditi Consulting"/>
    <s v="['sql', 'visual basic', 'python', 'aurora', 'snowflake', 'power bi']"/>
  </r>
  <r>
    <x v="2"/>
    <s v="Senior Data Analyst Business Optimization Intelligence"/>
    <s v="Bailey's Crossroads, VA"/>
    <x v="0"/>
    <x v="0"/>
    <b v="0"/>
    <s v="New York, United States"/>
    <s v="January"/>
    <d v="2023-01-04T10:00:41"/>
    <b v="0"/>
    <b v="1"/>
    <x v="1"/>
    <s v="year"/>
    <n v="96500"/>
    <m/>
    <s v="Cox Communications"/>
    <s v="['sql', 'snowflake', 'aws', 'microstrategy', 'tableau', 'excel']"/>
  </r>
  <r>
    <x v="1"/>
    <s v="Desk Aligned Data Engineer - Macro Trading - $400k"/>
    <m/>
    <x v="4"/>
    <x v="0"/>
    <b v="0"/>
    <s v="Texas, United States"/>
    <s v="October"/>
    <d v="2023-10-15T17:08:17"/>
    <b v="1"/>
    <b v="0"/>
    <x v="1"/>
    <s v="year"/>
    <n v="225000"/>
    <m/>
    <s v="Paragon Alpha - Hedge Fund Talent Business"/>
    <s v="['python', 'sql', 'airflow']"/>
  </r>
  <r>
    <x v="6"/>
    <s v="Sr. Data Analyst (Healthcare Reporting/Data Analytics)- REMOTE"/>
    <s v="Anywhere"/>
    <x v="0"/>
    <x v="0"/>
    <b v="1"/>
    <s v="Georgia"/>
    <s v="May"/>
    <d v="2023-05-08T21:39:14"/>
    <b v="0"/>
    <b v="1"/>
    <x v="1"/>
    <s v="hour"/>
    <m/>
    <n v="48.209999080000003"/>
    <s v="SGA Inc."/>
    <s v="['sql', 'power bi', 'excel']"/>
  </r>
  <r>
    <x v="4"/>
    <s v="Associate Data Scientist"/>
    <s v="Indianapolis, IN"/>
    <x v="4"/>
    <x v="0"/>
    <b v="0"/>
    <s v="Georgia"/>
    <s v="March"/>
    <d v="2023-03-14T18:46:24"/>
    <b v="0"/>
    <b v="0"/>
    <x v="1"/>
    <s v="year"/>
    <n v="57500"/>
    <m/>
    <s v="Brooksource"/>
    <s v="['sql', 'python', 'r', 'azure', 'git']"/>
  </r>
  <r>
    <x v="6"/>
    <s v="Junior Data Analyst"/>
    <s v="Edmonton, AB, Canada"/>
    <x v="14"/>
    <x v="4"/>
    <b v="0"/>
    <s v="Canada"/>
    <s v="September"/>
    <d v="2023-09-04T10:16:18"/>
    <b v="0"/>
    <b v="0"/>
    <x v="4"/>
    <s v="hour"/>
    <m/>
    <n v="20"/>
    <s v="Trans-Tach"/>
    <s v="['sql', 'python', 'excel']"/>
  </r>
  <r>
    <x v="0"/>
    <s v="Senior Data Scientist - Clearance Required - Now Hiring"/>
    <s v="Tysons, VA"/>
    <x v="3"/>
    <x v="1"/>
    <b v="0"/>
    <s v="Georgia"/>
    <s v="November"/>
    <d v="2023-11-02T18:42:03"/>
    <b v="0"/>
    <b v="0"/>
    <x v="1"/>
    <s v="hour"/>
    <m/>
    <n v="47.620002749999998"/>
    <s v="LMI Consulting, LLC"/>
    <s v="['python', 'java', 'r', 'matlab', 'sql', 'databricks', 'spark', 'pyspark', 'scikit-learn', 'qlik']"/>
  </r>
  <r>
    <x v="1"/>
    <s v="Lead Data Engineer - CLOUD"/>
    <s v="Melville, NY"/>
    <x v="3"/>
    <x v="1"/>
    <b v="0"/>
    <s v="Texas, United States"/>
    <s v="October"/>
    <d v="2023-10-11T18:07:18"/>
    <b v="0"/>
    <b v="0"/>
    <x v="1"/>
    <s v="hour"/>
    <m/>
    <n v="54.420001980000002"/>
    <s v="Northwell Health"/>
    <s v="['nosql', 'sql', 'javascript', 'python', 'bigquery', 'gcp', 'hadoop', 'spark']"/>
  </r>
  <r>
    <x v="5"/>
    <s v="Senior Data Engineer"/>
    <s v="United States"/>
    <x v="4"/>
    <x v="0"/>
    <b v="0"/>
    <s v="New York, United States"/>
    <s v="October"/>
    <d v="2023-10-12T13:25:16"/>
    <b v="1"/>
    <b v="0"/>
    <x v="1"/>
    <s v="year"/>
    <n v="160000"/>
    <m/>
    <s v="Harnham"/>
    <s v="['sql', 'python', 'scala', 'java', 'nosql', 'aws', 'pyspark', 'kafka', 'airflow']"/>
  </r>
  <r>
    <x v="5"/>
    <s v="Senior Data Engineer"/>
    <s v="Jacksonville, FL"/>
    <x v="4"/>
    <x v="2"/>
    <b v="0"/>
    <s v="Sudan"/>
    <s v="July"/>
    <d v="2023-07-22T02:02:38"/>
    <b v="0"/>
    <b v="1"/>
    <x v="0"/>
    <s v="year"/>
    <n v="92000"/>
    <m/>
    <s v="Interactive Resources - iR"/>
    <s v="['sql', 'linux']"/>
  </r>
  <r>
    <x v="4"/>
    <s v="Data Scientist II, Tech"/>
    <s v="New York, NY"/>
    <x v="1"/>
    <x v="0"/>
    <b v="0"/>
    <s v="New York, United States"/>
    <s v="September"/>
    <d v="2023-09-30T08:02:29"/>
    <b v="0"/>
    <b v="1"/>
    <x v="1"/>
    <s v="year"/>
    <n v="140000"/>
    <m/>
    <s v="Uber"/>
    <s v="['sql', 'python']"/>
  </r>
  <r>
    <x v="1"/>
    <s v="Founding Data Engineer"/>
    <s v="New York, NY"/>
    <x v="15"/>
    <x v="0"/>
    <b v="0"/>
    <s v="Florida, United States"/>
    <s v="December"/>
    <d v="2023-12-26T20:07:29"/>
    <b v="1"/>
    <b v="0"/>
    <x v="1"/>
    <s v="year"/>
    <n v="170000"/>
    <m/>
    <s v="Confido"/>
    <s v="['go', 'python', 'aws', 'node.js', 'flow']"/>
  </r>
  <r>
    <x v="4"/>
    <s v="Data scientist to polish projects and build portfolio. - Contract..."/>
    <s v="Anywhere"/>
    <x v="16"/>
    <x v="5"/>
    <b v="1"/>
    <s v="Texas, United States"/>
    <s v="December"/>
    <d v="2023-12-07T21:05:15"/>
    <b v="0"/>
    <b v="0"/>
    <x v="1"/>
    <s v="hour"/>
    <m/>
    <n v="31.5"/>
    <s v="Upwork"/>
    <m/>
  </r>
  <r>
    <x v="0"/>
    <s v="Senior Data Scientist, Wireless Product"/>
    <s v="Nederland, CO"/>
    <x v="13"/>
    <x v="0"/>
    <b v="0"/>
    <s v="Sudan"/>
    <s v="August"/>
    <d v="2023-08-05T20:40:28"/>
    <b v="0"/>
    <b v="1"/>
    <x v="0"/>
    <s v="year"/>
    <n v="100000"/>
    <m/>
    <s v="DISH"/>
    <s v="['python', 'r', 'sql', 'aws', 'snowflake']"/>
  </r>
  <r>
    <x v="7"/>
    <s v="Software/Data Engineer - Python/AWS"/>
    <s v="Washington, DC"/>
    <x v="0"/>
    <x v="2"/>
    <b v="0"/>
    <s v="Sudan"/>
    <s v="October"/>
    <d v="2023-10-13T04:16:13"/>
    <b v="1"/>
    <b v="0"/>
    <x v="0"/>
    <s v="hour"/>
    <m/>
    <n v="65"/>
    <s v="Flex Employee Services"/>
    <s v="['python', 'sql', 'java', 'sas', 'sas', 'postgresql', 'aws', 'oracle', 'aurora', 'redshift', 'pyspark', 'spring', 'angular', 'jenkins', 'bitbucket']"/>
  </r>
  <r>
    <x v="5"/>
    <s v="Sr.Azure Data Engineer"/>
    <s v="Charleston, SC"/>
    <x v="17"/>
    <x v="2"/>
    <b v="0"/>
    <s v="Sudan"/>
    <s v="May"/>
    <d v="2023-05-06T12:12:46"/>
    <b v="1"/>
    <b v="0"/>
    <x v="0"/>
    <s v="hour"/>
    <m/>
    <n v="65"/>
    <s v="JConnect Inc"/>
    <s v="['sql', 'sql server', 'azure', 'databricks', 'pyspark', 'ssis']"/>
  </r>
  <r>
    <x v="1"/>
    <s v="Data Engineering Manager"/>
    <s v="Rijeka, Croatia"/>
    <x v="2"/>
    <x v="0"/>
    <b v="0"/>
    <s v="Croatia"/>
    <s v="June"/>
    <d v="2023-06-15T14:58:26"/>
    <b v="0"/>
    <b v="0"/>
    <x v="5"/>
    <s v="year"/>
    <n v="134241"/>
    <m/>
    <s v="iOLAP"/>
    <s v="['python', 'sql', 'aws']"/>
  </r>
  <r>
    <x v="1"/>
    <s v="Data Engineer Analytics - W2"/>
    <s v="Hartford, CT"/>
    <x v="0"/>
    <x v="2"/>
    <b v="0"/>
    <s v="New York, United States"/>
    <s v="July"/>
    <d v="2023-07-26T18:06:39"/>
    <b v="0"/>
    <b v="0"/>
    <x v="1"/>
    <s v="hour"/>
    <m/>
    <n v="70"/>
    <s v="Sunrise Systems Inc"/>
    <s v="['sql']"/>
  </r>
  <r>
    <x v="4"/>
    <s v="Data Scientist"/>
    <s v="Houston, TX"/>
    <x v="1"/>
    <x v="0"/>
    <b v="0"/>
    <s v="Texas, United States"/>
    <s v="August"/>
    <d v="2023-08-30T18:05:09"/>
    <b v="0"/>
    <b v="0"/>
    <x v="1"/>
    <s v="hour"/>
    <m/>
    <n v="57.5"/>
    <s v="Connvertex Technologies Inc."/>
    <s v="['pytorch', 'tensorflow']"/>
  </r>
  <r>
    <x v="5"/>
    <s v="Senior Data Engineer (Hybrid)"/>
    <s v="Harrisonburg, VA"/>
    <x v="8"/>
    <x v="1"/>
    <b v="0"/>
    <s v="New York, United States"/>
    <s v="November"/>
    <d v="2023-11-20T09:05:15"/>
    <b v="0"/>
    <b v="1"/>
    <x v="1"/>
    <s v="year"/>
    <n v="173500"/>
    <m/>
    <s v="Capital One"/>
    <s v="['scala', 'nosql', 'python', 'sql', 'java', 'mongo', 'shell', 'mysql', 'cassandra', 'aws', 'azure', 'redshift', 'snowflake', 'hadoop', 'spark', 'kafka', 'angular']"/>
  </r>
  <r>
    <x v="1"/>
    <s v="Data Engineer"/>
    <s v="Tampa, FL"/>
    <x v="4"/>
    <x v="0"/>
    <b v="0"/>
    <s v="Sudan"/>
    <s v="October"/>
    <d v="2023-10-28T10:32:14"/>
    <b v="1"/>
    <b v="1"/>
    <x v="0"/>
    <s v="year"/>
    <n v="112500"/>
    <m/>
    <s v="Jobot"/>
    <s v="['sql', 'azure', 'tableau']"/>
  </r>
  <r>
    <x v="1"/>
    <s v="Lead Data Engineer - Full-time / Part-time"/>
    <s v="Rockford, IL"/>
    <x v="3"/>
    <x v="1"/>
    <b v="0"/>
    <s v="Texas, United States"/>
    <s v="October"/>
    <d v="2023-10-09T03:07:35"/>
    <b v="0"/>
    <b v="1"/>
    <x v="1"/>
    <s v="hour"/>
    <m/>
    <n v="51.489997860000003"/>
    <s v="Capital One"/>
    <s v="['python', 'scala', 'sql', 'java', 'nosql', 'mongo', 'shell', 'mysql', 'cassandra', 'aws', 'azure', 'redshift', 'snowflake', 'spark', 'hadoop', 'kafka']"/>
  </r>
  <r>
    <x v="6"/>
    <s v="Escrow Data Analyst"/>
    <s v="Ocala, FL"/>
    <x v="0"/>
    <x v="0"/>
    <b v="0"/>
    <s v="Florida, United States"/>
    <s v="July"/>
    <d v="2023-07-10T19:02:20"/>
    <b v="1"/>
    <b v="0"/>
    <x v="1"/>
    <s v="hour"/>
    <m/>
    <n v="18.5"/>
    <s v="Essex Mortgage"/>
    <s v="['word', 'excel', 'powerpoint']"/>
  </r>
  <r>
    <x v="1"/>
    <s v="IT &amp; Strategy Talent Programme - AI/ML and Data Engineer"/>
    <s v="Hamburg, Germany"/>
    <x v="2"/>
    <x v="0"/>
    <b v="0"/>
    <s v="Germany"/>
    <s v="January"/>
    <d v="2023-01-12T20:44:40"/>
    <b v="0"/>
    <b v="0"/>
    <x v="6"/>
    <s v="year"/>
    <n v="98301.5"/>
    <m/>
    <s v="Vattenfall"/>
    <s v="['azure']"/>
  </r>
  <r>
    <x v="1"/>
    <s v="Big Data Engineer"/>
    <s v="Jessup, MD"/>
    <x v="0"/>
    <x v="6"/>
    <b v="0"/>
    <s v="Georgia"/>
    <s v="August"/>
    <d v="2023-08-26T16:01:51"/>
    <b v="0"/>
    <b v="0"/>
    <x v="1"/>
    <s v="hour"/>
    <m/>
    <n v="74.824996949999999"/>
    <s v="Robert Half"/>
    <s v="['db2', 'power bi']"/>
  </r>
  <r>
    <x v="1"/>
    <s v="Azure Data Engineer"/>
    <s v="Anywhere"/>
    <x v="4"/>
    <x v="2"/>
    <b v="1"/>
    <s v="California, United States"/>
    <s v="June"/>
    <d v="2023-06-12T17:26:08"/>
    <b v="0"/>
    <b v="0"/>
    <x v="1"/>
    <s v="hour"/>
    <m/>
    <n v="55"/>
    <s v="Vertisystem"/>
    <s v="['python', 'sql', 'powershell', 'bash', 'azure', 'databricks', 'pandas', 'github']"/>
  </r>
  <r>
    <x v="4"/>
    <s v="Data Scientist"/>
    <s v="Fremont, CA"/>
    <x v="1"/>
    <x v="0"/>
    <b v="0"/>
    <s v="California, United States"/>
    <s v="September"/>
    <d v="2023-09-12T20:05:36"/>
    <b v="0"/>
    <b v="0"/>
    <x v="1"/>
    <s v="year"/>
    <n v="85000"/>
    <m/>
    <s v="SoundThinking"/>
    <s v="['python', 'r', 'sql', 'aws', 'pandas', 'numpy', 'tidyverse', 'matplotlib', 'ggplot2']"/>
  </r>
  <r>
    <x v="4"/>
    <s v="Lead Data Scientist"/>
    <s v="Homestead, PA"/>
    <x v="6"/>
    <x v="0"/>
    <b v="0"/>
    <s v="Georgia"/>
    <s v="June"/>
    <d v="2023-06-26T11:56:36"/>
    <b v="0"/>
    <b v="0"/>
    <x v="1"/>
    <s v="year"/>
    <n v="90000"/>
    <m/>
    <s v="Highmark"/>
    <s v="['python', 'sql', 'r', 'bigquery', 'flow']"/>
  </r>
  <r>
    <x v="5"/>
    <s v="Senior Data Engineer - Principal Associate - Full-time / Part-time"/>
    <s v="Paris, TX"/>
    <x v="3"/>
    <x v="0"/>
    <b v="0"/>
    <s v="Georgia"/>
    <s v="September"/>
    <d v="2023-09-04T02:35:07"/>
    <b v="0"/>
    <b v="1"/>
    <x v="1"/>
    <s v="hour"/>
    <m/>
    <n v="58.680000309999997"/>
    <s v="Capital One"/>
    <s v="['java', 'scala', 'python', 'nosql', 'sql', 'mongo', 'shell', 'mysql', 'cassandra', 'redshift', 'snowflake', 'aws', 'azure', 'hadoop', 'kafka', 'spark']"/>
  </r>
  <r>
    <x v="0"/>
    <s v="Senior Data Scientist"/>
    <s v="El Mirage, AZ"/>
    <x v="0"/>
    <x v="0"/>
    <b v="0"/>
    <s v="California, United States"/>
    <s v="January"/>
    <d v="2023-01-29T10:04:52"/>
    <b v="0"/>
    <b v="1"/>
    <x v="1"/>
    <s v="year"/>
    <n v="116700"/>
    <m/>
    <s v="Cox Communications"/>
    <s v="['sql', 'r', 'python', 'scala', 'java', 'c++', 'sas', 'sas', 'aws', 'spark', 'ggplot2', 'pandas', 'numpy', 'scikit-learn', 'tableau']"/>
  </r>
  <r>
    <x v="1"/>
    <s v="Data Engineer"/>
    <s v="Anywhere"/>
    <x v="1"/>
    <x v="2"/>
    <b v="1"/>
    <s v="California, United States"/>
    <s v="May"/>
    <d v="2023-05-24T18:05:57"/>
    <b v="1"/>
    <b v="0"/>
    <x v="1"/>
    <s v="hour"/>
    <m/>
    <n v="65"/>
    <s v="Leadstack Inc"/>
    <s v="['python', 'sql', 'azure', 'databricks', 'spark', 'power bi']"/>
  </r>
  <r>
    <x v="1"/>
    <s v="(Senior) Analytics Engineer / Data Engineer (all genders)"/>
    <s v="Göppingen, Germany"/>
    <x v="2"/>
    <x v="0"/>
    <b v="0"/>
    <s v="Germany"/>
    <s v="November"/>
    <d v="2023-11-01T19:10:51"/>
    <b v="0"/>
    <b v="0"/>
    <x v="6"/>
    <s v="year"/>
    <n v="163500"/>
    <m/>
    <s v="TeamViewer"/>
    <s v="['sql', 'go', 'git']"/>
  </r>
  <r>
    <x v="6"/>
    <s v="Data Analyst"/>
    <s v="Newnan, GA"/>
    <x v="1"/>
    <x v="0"/>
    <b v="0"/>
    <s v="Georgia"/>
    <s v="September"/>
    <d v="2023-09-05T19:01:06"/>
    <b v="0"/>
    <b v="1"/>
    <x v="1"/>
    <s v="year"/>
    <n v="75000"/>
    <m/>
    <s v="JB HARRIS TRANSPORT"/>
    <s v="['sql', 'power bi', 'dax']"/>
  </r>
  <r>
    <x v="8"/>
    <s v="Business Analyst"/>
    <s v="Anywhere"/>
    <x v="0"/>
    <x v="0"/>
    <b v="1"/>
    <s v="Georgia"/>
    <s v="July"/>
    <d v="2023-07-28T12:37:56"/>
    <b v="0"/>
    <b v="0"/>
    <x v="1"/>
    <s v="hour"/>
    <m/>
    <n v="41"/>
    <n v="9992"/>
    <s v="['sql', 'sas', 'sas', 'sql server', 'word', 'excel', 'webex']"/>
  </r>
  <r>
    <x v="4"/>
    <s v="Data Scientist (Manufacturing)"/>
    <s v="Austin, TX"/>
    <x v="2"/>
    <x v="0"/>
    <b v="0"/>
    <s v="Sudan"/>
    <s v="March"/>
    <d v="2023-03-29T11:52:36"/>
    <b v="0"/>
    <b v="1"/>
    <x v="0"/>
    <s v="year"/>
    <n v="69962.5"/>
    <m/>
    <s v="Sustainment"/>
    <m/>
  </r>
  <r>
    <x v="6"/>
    <s v="HR Reporting Data Analyst"/>
    <s v="Exton, PA"/>
    <x v="4"/>
    <x v="0"/>
    <b v="0"/>
    <s v="New York, United States"/>
    <s v="March"/>
    <d v="2023-03-07T22:01:26"/>
    <b v="1"/>
    <b v="0"/>
    <x v="1"/>
    <s v="hour"/>
    <m/>
    <n v="35"/>
    <s v="Insight Global"/>
    <s v="['sql', 'oracle', 'excel', 'tableau']"/>
  </r>
  <r>
    <x v="4"/>
    <s v="Data Scientist Technical Specialist - Full-time / Part-time"/>
    <s v="Reston, VA"/>
    <x v="3"/>
    <x v="0"/>
    <b v="0"/>
    <s v="Georgia"/>
    <s v="August"/>
    <d v="2023-08-05T07:00:54"/>
    <b v="0"/>
    <b v="1"/>
    <x v="1"/>
    <s v="hour"/>
    <m/>
    <n v="47.620002749999998"/>
    <s v="CoSolutions, Inc."/>
    <s v="['c#', 'c++', 'python', 'hadoop', 'pandas', 'jupyter', 'windows', 'tableau', 'excel']"/>
  </r>
  <r>
    <x v="1"/>
    <s v="Data Analyst/ Data Engineer"/>
    <s v="Plano, TX"/>
    <x v="4"/>
    <x v="2"/>
    <b v="0"/>
    <s v="Illinois, United States"/>
    <s v="October"/>
    <d v="2023-10-05T16:08:01"/>
    <b v="1"/>
    <b v="1"/>
    <x v="1"/>
    <s v="hour"/>
    <m/>
    <n v="47.5"/>
    <s v="Pyramid Consulting, Inc"/>
    <s v="['python', 'sql', 'aws', 'databricks', 'tableau']"/>
  </r>
  <r>
    <x v="0"/>
    <s v="Senior Data Scientist - Language Modeling and AI"/>
    <s v="Belle, MO"/>
    <x v="3"/>
    <x v="1"/>
    <b v="0"/>
    <s v="Illinois, United States"/>
    <s v="September"/>
    <d v="2023-09-20T01:02:37"/>
    <b v="0"/>
    <b v="1"/>
    <x v="1"/>
    <s v="hour"/>
    <m/>
    <n v="37.854999540000001"/>
    <s v="EDWARD JONES"/>
    <s v="['python', 'r', 'scala', 'tensorflow', 'pytorch']"/>
  </r>
  <r>
    <x v="1"/>
    <s v="Cleared Data Engineer (All Levels)"/>
    <s v="Chantilly, VA"/>
    <x v="4"/>
    <x v="0"/>
    <b v="0"/>
    <s v="Texas, United States"/>
    <s v="March"/>
    <d v="2023-03-31T14:09:19"/>
    <b v="0"/>
    <b v="1"/>
    <x v="1"/>
    <s v="year"/>
    <n v="122340"/>
    <m/>
    <s v="Noblis"/>
    <s v="['python', 'sql', 'java', 'mongodb', 'mongodb', 'javascript', 'postgresql', 'mysql', 'oracle', 'hadoop', 'spark', 'docker', 'kubernetes', 'git']"/>
  </r>
  <r>
    <x v="4"/>
    <s v="Data Scientist 4"/>
    <s v="Pittsburgh, PA"/>
    <x v="18"/>
    <x v="2"/>
    <b v="0"/>
    <s v="Illinois, United States"/>
    <s v="February"/>
    <d v="2023-02-17T00:06:08"/>
    <b v="0"/>
    <b v="1"/>
    <x v="1"/>
    <s v="hour"/>
    <m/>
    <n v="71.730003359999998"/>
    <s v="Genesis10"/>
    <s v="['python', 'r', 'java', 'nosql', 'mongo', 'neo4j', 'cassandra', 'databricks', 'azure', 'aws', 'hadoop', 'pyspark', 'spark', 'kafka', 'airflow', 'tableau', 'yarn', 'git', 'bitbucket', 'jenkins']"/>
  </r>
  <r>
    <x v="5"/>
    <s v="Senior Data Engineer"/>
    <s v="Cupertino, CA"/>
    <x v="4"/>
    <x v="0"/>
    <b v="0"/>
    <s v="New York, United States"/>
    <s v="April"/>
    <d v="2023-04-18T16:07:26"/>
    <b v="0"/>
    <b v="0"/>
    <x v="1"/>
    <s v="year"/>
    <n v="160000"/>
    <m/>
    <s v="TheoremOne"/>
    <s v="['sql', 'java', 'scala', 'python', 'aws', 'spark', 'hadoop', 'kafka', 'airflow']"/>
  </r>
  <r>
    <x v="0"/>
    <s v="Senior Data Scientist (f/m/d) Spain"/>
    <s v="Barcelona, Spain"/>
    <x v="2"/>
    <x v="0"/>
    <b v="0"/>
    <s v="Spain"/>
    <s v="July"/>
    <d v="2023-07-26T23:46:03"/>
    <b v="0"/>
    <b v="0"/>
    <x v="7"/>
    <s v="year"/>
    <n v="157500"/>
    <m/>
    <s v="SIGNA Sports United"/>
    <s v="['python', 'sql', 'aws']"/>
  </r>
  <r>
    <x v="0"/>
    <s v="Senior Data Scientist"/>
    <s v="Washington, DC"/>
    <x v="4"/>
    <x v="0"/>
    <b v="0"/>
    <s v="New York, United States"/>
    <s v="May"/>
    <d v="2023-05-16T21:02:49"/>
    <b v="0"/>
    <b v="1"/>
    <x v="1"/>
    <s v="year"/>
    <n v="170000"/>
    <m/>
    <s v="Harnham"/>
    <s v="['python', 'sql']"/>
  </r>
  <r>
    <x v="4"/>
    <s v="Data Scientist Needed to build a reccomendation system"/>
    <s v="Anywhere"/>
    <x v="16"/>
    <x v="5"/>
    <b v="1"/>
    <s v="Illinois, United States"/>
    <s v="December"/>
    <d v="2023-12-29T13:02:29"/>
    <b v="0"/>
    <b v="0"/>
    <x v="1"/>
    <s v="hour"/>
    <m/>
    <n v="85"/>
    <s v="Upwork"/>
    <s v="['python', 'r', 'scala', 'tensorflow', 'pytorch', 'scikit-learn', 'pandas', 'numpy']"/>
  </r>
  <r>
    <x v="4"/>
    <s v="Data Scientist"/>
    <s v="Indianapolis, IN"/>
    <x v="1"/>
    <x v="2"/>
    <b v="0"/>
    <s v="Illinois, United States"/>
    <s v="November"/>
    <d v="2023-11-13T14:04:28"/>
    <b v="0"/>
    <b v="0"/>
    <x v="1"/>
    <s v="hour"/>
    <m/>
    <n v="39"/>
    <s v="Hanker Solutions Pvt.Ltd"/>
    <s v="['oracle']"/>
  </r>
  <r>
    <x v="1"/>
    <s v="Data Engineer"/>
    <s v="Chicago, IL"/>
    <x v="1"/>
    <x v="0"/>
    <b v="0"/>
    <s v="California, United States"/>
    <s v="January"/>
    <d v="2023-01-13T19:09:10"/>
    <b v="0"/>
    <b v="1"/>
    <x v="1"/>
    <s v="year"/>
    <n v="102500"/>
    <m/>
    <s v="Alliant Credit Union"/>
    <s v="['sql', 'azure', 'tableau']"/>
  </r>
  <r>
    <x v="4"/>
    <s v="Data Scientist 3"/>
    <s v="Annapolis Junction, MD"/>
    <x v="3"/>
    <x v="1"/>
    <b v="0"/>
    <s v="New York, United States"/>
    <s v="December"/>
    <d v="2023-12-10T07:01:53"/>
    <b v="0"/>
    <b v="0"/>
    <x v="1"/>
    <s v="hour"/>
    <m/>
    <n v="44.73500061"/>
    <s v="iNovex Information Systems"/>
    <m/>
  </r>
  <r>
    <x v="0"/>
    <s v="Senior Data Scientist - Clearance Required - Full-time / Part-time"/>
    <s v="Tysons, VA"/>
    <x v="3"/>
    <x v="1"/>
    <b v="0"/>
    <s v="New York, United States"/>
    <s v="September"/>
    <d v="2023-09-28T06:02:39"/>
    <b v="0"/>
    <b v="0"/>
    <x v="1"/>
    <s v="hour"/>
    <m/>
    <n v="47.620002749999998"/>
    <s v="LMI Consulting, LLC"/>
    <s v="['python', 'java', 'r', 'matlab', 'sql', 'databricks', 'spark', 'pyspark', 'scikit-learn', 'qlik']"/>
  </r>
  <r>
    <x v="1"/>
    <s v="Data Engineer (Cloud) (W2 Only)"/>
    <s v="Columbus, OH"/>
    <x v="4"/>
    <x v="2"/>
    <b v="0"/>
    <s v="Georgia"/>
    <s v="February"/>
    <d v="2023-02-07T21:47:02"/>
    <b v="0"/>
    <b v="0"/>
    <x v="1"/>
    <s v="hour"/>
    <m/>
    <n v="58.5"/>
    <s v="BayOne Solutions"/>
    <s v="['sql', 'sql server', 'aws']"/>
  </r>
  <r>
    <x v="7"/>
    <s v="Graduate Power BI Developer"/>
    <s v="Mumbai, Maharashtra, India"/>
    <x v="2"/>
    <x v="0"/>
    <b v="0"/>
    <s v="India"/>
    <s v="June"/>
    <d v="2023-06-17T10:09:21"/>
    <b v="0"/>
    <b v="0"/>
    <x v="8"/>
    <s v="year"/>
    <n v="50400"/>
    <m/>
    <s v="YouGov"/>
    <s v="['sql', 'power bi', 'excel']"/>
  </r>
  <r>
    <x v="1"/>
    <s v="Cloud Data Engineer II - Full-time / Part-time"/>
    <s v="Dubuque, IA"/>
    <x v="3"/>
    <x v="0"/>
    <b v="0"/>
    <s v="Florida, United States"/>
    <s v="August"/>
    <d v="2023-08-25T18:11:54"/>
    <b v="0"/>
    <b v="1"/>
    <x v="1"/>
    <s v="hour"/>
    <m/>
    <n v="50.75"/>
    <s v="Heartland Financial USA Inc"/>
    <s v="['sql', 'java', 'sql server', 'snowflake', 'git']"/>
  </r>
  <r>
    <x v="1"/>
    <s v="Data Engineer"/>
    <s v="Anywhere"/>
    <x v="4"/>
    <x v="0"/>
    <b v="1"/>
    <s v="Texas, United States"/>
    <s v="September"/>
    <d v="2023-09-25T22:04:36"/>
    <b v="0"/>
    <b v="1"/>
    <x v="1"/>
    <s v="year"/>
    <n v="112500"/>
    <m/>
    <s v="Rhythmos"/>
    <s v="['python', 'java', 'sql', 'no-sql', 'scala', 'nosql', 'aws', 'gcp', 'kafka', 'spark', 'docker', 'kubernetes', 'confluence']"/>
  </r>
  <r>
    <x v="6"/>
    <s v="Data Analyst"/>
    <s v="Orlando, FL"/>
    <x v="19"/>
    <x v="0"/>
    <b v="0"/>
    <s v="Florida, United States"/>
    <s v="December"/>
    <d v="2023-12-13T09:02:52"/>
    <b v="0"/>
    <b v="1"/>
    <x v="1"/>
    <s v="year"/>
    <n v="100000"/>
    <m/>
    <s v="Siemens Energy"/>
    <m/>
  </r>
  <r>
    <x v="1"/>
    <s v="Data Engineer"/>
    <s v="Willow Grove, PA"/>
    <x v="4"/>
    <x v="0"/>
    <b v="0"/>
    <s v="California, United States"/>
    <s v="July"/>
    <d v="2023-07-18T21:07:05"/>
    <b v="0"/>
    <b v="0"/>
    <x v="1"/>
    <s v="year"/>
    <n v="75000"/>
    <m/>
    <s v="Kane Partners LLC"/>
    <s v="['python', 'sql', 'azure']"/>
  </r>
  <r>
    <x v="4"/>
    <s v="TechOps Data Scientist (Wilsonville, OR or Huntsville, AL)"/>
    <s v="Huntsville, AL"/>
    <x v="1"/>
    <x v="0"/>
    <b v="0"/>
    <s v="Florida, United States"/>
    <s v="August"/>
    <d v="2023-08-02T15:06:21"/>
    <b v="0"/>
    <b v="1"/>
    <x v="1"/>
    <s v="year"/>
    <n v="109750"/>
    <m/>
    <s v="Siemens"/>
    <s v="['sas', 'sas', 'java', 'scala', 'c++', 'matlab', 'mongodb', 'mongodb', 'cassandra', 'excel', 'tableau', 'qlik']"/>
  </r>
  <r>
    <x v="1"/>
    <s v="Data Engineer 2"/>
    <s v="Bengaluru, Karnataka, India"/>
    <x v="2"/>
    <x v="0"/>
    <b v="0"/>
    <s v="India"/>
    <s v="February"/>
    <d v="2023-02-11T10:13:46"/>
    <b v="0"/>
    <b v="0"/>
    <x v="8"/>
    <s v="year"/>
    <n v="147500"/>
    <m/>
    <s v="Publicis Groupe"/>
    <s v="['sql', 'shell', 'python', 'nosql', 'aws', 'redshift', 'hadoop', 'spark', 'pyspark', 'airflow', 'docker']"/>
  </r>
  <r>
    <x v="6"/>
    <s v="Director, Data and Analytics"/>
    <s v="Elmhurst, IL"/>
    <x v="3"/>
    <x v="0"/>
    <b v="0"/>
    <s v="Illinois, United States"/>
    <s v="August"/>
    <d v="2023-08-09T19:01:38"/>
    <b v="1"/>
    <b v="0"/>
    <x v="1"/>
    <s v="hour"/>
    <m/>
    <n v="54.954998019999998"/>
    <s v="Kellogg Company"/>
    <s v="['r', 'aws', 'redshift']"/>
  </r>
  <r>
    <x v="1"/>
    <s v="Data Engineer"/>
    <s v="Raleigh, NC"/>
    <x v="3"/>
    <x v="1"/>
    <b v="0"/>
    <s v="Florida, United States"/>
    <s v="December"/>
    <d v="2023-12-29T07:08:09"/>
    <b v="0"/>
    <b v="0"/>
    <x v="1"/>
    <s v="hour"/>
    <m/>
    <n v="44.75"/>
    <s v="Presidio, Inc."/>
    <s v="['nosql', 'sql', 'python', 'c', 'aws', 'azure', 'gcp', 'spark', 'airflow', 'tableau', 'git', 'terraform', 'docker', 'kubernetes']"/>
  </r>
  <r>
    <x v="6"/>
    <s v="Student Worker/Intern - Data Analysis"/>
    <s v="Dallas, TX"/>
    <x v="0"/>
    <x v="4"/>
    <b v="0"/>
    <s v="Texas, United States"/>
    <s v="May"/>
    <d v="2023-05-09T09:11:21"/>
    <b v="0"/>
    <b v="0"/>
    <x v="1"/>
    <s v="hour"/>
    <m/>
    <n v="8"/>
    <s v="UNT System"/>
    <s v="['sas', 'sas', 'python', 'word', 'spreadsheet', 'tableau', 'excel']"/>
  </r>
  <r>
    <x v="4"/>
    <s v="Staff Data Scientist"/>
    <s v="Bengaluru, Karnataka, India"/>
    <x v="2"/>
    <x v="0"/>
    <b v="0"/>
    <s v="India"/>
    <s v="May"/>
    <d v="2023-05-24T06:09:13"/>
    <b v="0"/>
    <b v="0"/>
    <x v="8"/>
    <s v="year"/>
    <n v="79200"/>
    <m/>
    <s v="Databricks"/>
    <s v="['scala', 'python', 'sql', 'databricks', 'spark', 'excel', 'unify']"/>
  </r>
  <r>
    <x v="1"/>
    <s v="Data Engineer - Full-time"/>
    <s v="Dublin, OH"/>
    <x v="3"/>
    <x v="0"/>
    <b v="0"/>
    <s v="Florida, United States"/>
    <s v="August"/>
    <d v="2023-08-17T11:11:41"/>
    <b v="1"/>
    <b v="0"/>
    <x v="1"/>
    <s v="hour"/>
    <m/>
    <n v="61"/>
    <s v="Robert Half"/>
    <s v="['sql', 'gcp', 'airflow']"/>
  </r>
  <r>
    <x v="4"/>
    <s v="Data Scientist &amp; Python Developer (remote opportunity)"/>
    <s v="Anywhere"/>
    <x v="3"/>
    <x v="0"/>
    <b v="1"/>
    <s v="Georgia"/>
    <s v="August"/>
    <d v="2023-08-10T18:11:51"/>
    <b v="0"/>
    <b v="1"/>
    <x v="1"/>
    <s v="hour"/>
    <m/>
    <n v="43.709999080000003"/>
    <s v="Tivity Health Services, LLC"/>
    <s v="['python', 'sql', 'aws', 'pandas', 'numpy', 'matplotlib', 'seaborn', 'plotly', 'nltk', 'pytorch', 'django', 'flask']"/>
  </r>
  <r>
    <x v="1"/>
    <s v="Data Engineer, Lead - Now Hiring"/>
    <s v="Arlington, VA"/>
    <x v="3"/>
    <x v="1"/>
    <b v="0"/>
    <s v="Sudan"/>
    <s v="December"/>
    <d v="2023-12-02T06:47:38"/>
    <b v="0"/>
    <b v="1"/>
    <x v="0"/>
    <s v="hour"/>
    <m/>
    <n v="61.159996030000002"/>
    <s v="Booz Allen Hamilton"/>
    <s v="['python', 'sql', 'scala', 'java', 'nosql', 'mongodb', 'mongodb', 'shell', 'cassandra', 'mysql', 'aws', 'azure', 'databricks', 'redshift', 'snowflake', 'spark', 'airflow', 'hadoop', 'kafka', 'unix', 'linux']"/>
  </r>
  <r>
    <x v="1"/>
    <s v="Data Engineer"/>
    <s v="Anywhere"/>
    <x v="16"/>
    <x v="5"/>
    <b v="1"/>
    <s v="California, United States"/>
    <s v="September"/>
    <d v="2023-09-15T19:06:12"/>
    <b v="1"/>
    <b v="0"/>
    <x v="1"/>
    <s v="hour"/>
    <m/>
    <n v="100"/>
    <s v="Upwork"/>
    <s v="['sql', 'looker']"/>
  </r>
  <r>
    <x v="1"/>
    <s v="Data Engineering Consultant (Hybrid) - Now Hiring"/>
    <s v="Burnsville, MN"/>
    <x v="3"/>
    <x v="0"/>
    <b v="0"/>
    <s v="Sudan"/>
    <s v="September"/>
    <d v="2023-09-17T17:14:47"/>
    <b v="0"/>
    <b v="1"/>
    <x v="0"/>
    <s v="hour"/>
    <m/>
    <n v="50.965000150000002"/>
    <s v="Securian Financial Group"/>
    <s v="['sql', 'aws', 'flow']"/>
  </r>
  <r>
    <x v="4"/>
    <s v="Data Scientist"/>
    <s v="Greenwood Village, CO"/>
    <x v="4"/>
    <x v="2"/>
    <b v="0"/>
    <s v="Texas, United States"/>
    <s v="May"/>
    <d v="2023-05-26T00:03:37"/>
    <b v="0"/>
    <b v="1"/>
    <x v="1"/>
    <s v="year"/>
    <n v="135000"/>
    <m/>
    <s v="Ascendion"/>
    <s v="['sql']"/>
  </r>
  <r>
    <x v="6"/>
    <s v="Product Management Data Analyst - Now Hiring"/>
    <s v="Anywhere"/>
    <x v="3"/>
    <x v="0"/>
    <b v="1"/>
    <s v="New York, United States"/>
    <s v="April"/>
    <d v="2023-04-30T11:00:01"/>
    <b v="1"/>
    <b v="0"/>
    <x v="1"/>
    <s v="hour"/>
    <m/>
    <n v="55"/>
    <s v="Robert Half"/>
    <m/>
  </r>
  <r>
    <x v="4"/>
    <s v="Data Scientist"/>
    <s v="United States"/>
    <x v="1"/>
    <x v="0"/>
    <b v="0"/>
    <s v="Sudan"/>
    <s v="February"/>
    <d v="2023-02-03T14:06:31"/>
    <b v="0"/>
    <b v="0"/>
    <x v="0"/>
    <s v="year"/>
    <n v="155000"/>
    <m/>
    <s v="LPL Financial"/>
    <s v="['erlang', 'sql', 'r', 'python', 'tableau', 'alteryx']"/>
  </r>
  <r>
    <x v="1"/>
    <s v="Data Engineer"/>
    <s v="Baltimore, MD"/>
    <x v="20"/>
    <x v="0"/>
    <b v="0"/>
    <s v="Florida, United States"/>
    <s v="June"/>
    <d v="2023-06-27T19:31:29"/>
    <b v="0"/>
    <b v="1"/>
    <x v="1"/>
    <s v="year"/>
    <n v="58926"/>
    <m/>
    <s v="Capital One"/>
    <s v="['scala', 'nosql', 'python', 'java', 'elasticsearch', 'cassandra', 'aws', 'azure', 'redshift', 'snowflake', 'hadoop', 'spark', 'airflow', 'kafka', 'angular']"/>
  </r>
  <r>
    <x v="5"/>
    <s v="Sr Data Engineer - (in-person in Aliso Viejo)"/>
    <s v="Irvine, CA"/>
    <x v="0"/>
    <x v="0"/>
    <b v="0"/>
    <s v="Illinois, United States"/>
    <s v="September"/>
    <d v="2023-09-05T20:08:17"/>
    <b v="0"/>
    <b v="1"/>
    <x v="1"/>
    <s v="year"/>
    <n v="135000"/>
    <m/>
    <s v="Adroit Worldwide Media, Inc. (AWM Smart Shelf)"/>
    <s v="['sql', 'python', 'gcp', 'power bi', 'tableau']"/>
  </r>
  <r>
    <x v="5"/>
    <s v="Senior Data Engineer - Full-time / Part-time"/>
    <s v="Orange, CA"/>
    <x v="3"/>
    <x v="0"/>
    <b v="0"/>
    <s v="Florida, United States"/>
    <s v="August"/>
    <d v="2023-08-22T06:11:34"/>
    <b v="0"/>
    <b v="1"/>
    <x v="1"/>
    <s v="hour"/>
    <m/>
    <n v="52.77999878"/>
    <s v="ENGIE North America Inc."/>
    <s v="['sql', 'swift']"/>
  </r>
  <r>
    <x v="1"/>
    <s v="Data Engineer"/>
    <s v="Dayton, OH"/>
    <x v="6"/>
    <x v="0"/>
    <b v="0"/>
    <s v="California, United States"/>
    <s v="October"/>
    <d v="2023-10-06T08:05:20"/>
    <b v="0"/>
    <b v="0"/>
    <x v="1"/>
    <s v="year"/>
    <n v="108415.5"/>
    <m/>
    <s v="Insight Global"/>
    <s v="['python', 'r', 'azure', 'aws', 'gcp', 'tensorflow', 'hadoop']"/>
  </r>
  <r>
    <x v="1"/>
    <s v="Lead Data Engineer - Now Hiring"/>
    <s v="Morristown, NJ"/>
    <x v="3"/>
    <x v="1"/>
    <b v="0"/>
    <s v="Florida, United States"/>
    <s v="November"/>
    <d v="2023-11-12T07:06:58"/>
    <b v="1"/>
    <b v="1"/>
    <x v="1"/>
    <s v="hour"/>
    <m/>
    <n v="54.420001980000002"/>
    <s v="Zelis Healthcare, LLC"/>
    <s v="['python', 'sql', 't-sql', 'sql server', 'snowflake', 'azure', 'git', 'jira', 'confluence']"/>
  </r>
  <r>
    <x v="1"/>
    <s v="Sr. Data Engineer - (Hybrid)"/>
    <s v="Oak Brook, IL"/>
    <x v="3"/>
    <x v="0"/>
    <b v="0"/>
    <s v="New York, United States"/>
    <s v="August"/>
    <d v="2023-08-08T06:06:09"/>
    <b v="0"/>
    <b v="0"/>
    <x v="1"/>
    <s v="hour"/>
    <m/>
    <n v="50.66999817"/>
    <s v="The Chamberlain Group"/>
    <s v="['nosql', 'databricks', 'azure', 'spark', 'kafka', 'qlik', 'power bi']"/>
  </r>
  <r>
    <x v="1"/>
    <s v="Data Engineer"/>
    <s v="Portland, OR"/>
    <x v="12"/>
    <x v="2"/>
    <b v="0"/>
    <s v="Texas, United States"/>
    <s v="March"/>
    <d v="2023-03-08T15:08:29"/>
    <b v="1"/>
    <b v="0"/>
    <x v="1"/>
    <s v="hour"/>
    <m/>
    <n v="55"/>
    <s v="Yorkshire Global Solutions Inc."/>
    <s v="['python', 'sql', 'nosql', 'java', 'scala', 'shell', 'aws', 'pyspark', 'hadoop', 'spark', 'kafka', 'spring']"/>
  </r>
  <r>
    <x v="2"/>
    <s v="Senior Data Analyst"/>
    <s v="Austin, TX"/>
    <x v="4"/>
    <x v="0"/>
    <b v="0"/>
    <s v="Texas, United States"/>
    <s v="May"/>
    <d v="2023-05-04T14:01:51"/>
    <b v="1"/>
    <b v="1"/>
    <x v="1"/>
    <s v="year"/>
    <n v="150000"/>
    <m/>
    <s v="TheoremOne"/>
    <s v="['sql', 'r', 'python', 'tableau']"/>
  </r>
  <r>
    <x v="9"/>
    <s v="Network engineer"/>
    <s v="Atlanta, GA"/>
    <x v="21"/>
    <x v="7"/>
    <b v="0"/>
    <s v="Sudan"/>
    <s v="October"/>
    <d v="2023-10-15T00:05:24"/>
    <b v="1"/>
    <b v="0"/>
    <x v="0"/>
    <s v="hour"/>
    <m/>
    <n v="40"/>
    <s v="titandata.com"/>
    <s v="['python']"/>
  </r>
  <r>
    <x v="6"/>
    <s v="Data Analyst - Operations - Onboarding and Subscription Management"/>
    <s v="Chennai, Tamil Nadu, India"/>
    <x v="2"/>
    <x v="0"/>
    <b v="0"/>
    <s v="India"/>
    <s v="July"/>
    <d v="2023-07-20T18:12:12"/>
    <b v="0"/>
    <b v="0"/>
    <x v="8"/>
    <s v="year"/>
    <n v="111175"/>
    <m/>
    <s v="Arcadia"/>
    <s v="['sql', 'electron', 'excel', 'powerpoint', 'word']"/>
  </r>
  <r>
    <x v="1"/>
    <s v="Sr. Data Engineer"/>
    <s v="Reston, VA"/>
    <x v="6"/>
    <x v="0"/>
    <b v="0"/>
    <s v="California, United States"/>
    <s v="June"/>
    <d v="2023-06-26T07:06:44"/>
    <b v="0"/>
    <b v="1"/>
    <x v="1"/>
    <s v="year"/>
    <n v="90000"/>
    <m/>
    <s v="Resonate"/>
    <s v="['scala', 'java', 'sql', 'aws', 'kafka', 'splunk']"/>
  </r>
  <r>
    <x v="4"/>
    <s v="Data Scientist"/>
    <s v="Gaithersburg, MD"/>
    <x v="12"/>
    <x v="2"/>
    <b v="0"/>
    <s v="New York, United States"/>
    <s v="April"/>
    <d v="2023-04-26T15:03:58"/>
    <b v="0"/>
    <b v="0"/>
    <x v="1"/>
    <s v="hour"/>
    <m/>
    <n v="70"/>
    <s v="Tri-Force Consulting Services Inc"/>
    <m/>
  </r>
  <r>
    <x v="5"/>
    <s v="Senior Data Engineer"/>
    <s v="South Bend, IN"/>
    <x v="8"/>
    <x v="1"/>
    <b v="0"/>
    <s v="New York, United States"/>
    <s v="October"/>
    <d v="2023-10-16T16:25:39"/>
    <b v="0"/>
    <b v="1"/>
    <x v="1"/>
    <s v="year"/>
    <n v="173500"/>
    <m/>
    <s v="Capital One"/>
    <s v="['java', 'scala', 'python', 'nosql', 'mongo', 'shell', 'cassandra', 'redshift', 'snowflake', 'aws', 'azure', 'spark', 'hadoop', 'kafka']"/>
  </r>
  <r>
    <x v="4"/>
    <s v="Head of Data Science"/>
    <s v="Anywhere"/>
    <x v="4"/>
    <x v="0"/>
    <b v="1"/>
    <s v="Texas, United States"/>
    <s v="May"/>
    <d v="2023-05-26T22:04:25"/>
    <b v="0"/>
    <b v="1"/>
    <x v="1"/>
    <s v="year"/>
    <n v="324000"/>
    <m/>
    <s v="Demandbase"/>
    <m/>
  </r>
  <r>
    <x v="1"/>
    <s v="Data Engineer"/>
    <s v="Portland, OR"/>
    <x v="4"/>
    <x v="0"/>
    <b v="0"/>
    <s v="Sudan"/>
    <s v="December"/>
    <d v="2023-12-05T02:41:41"/>
    <b v="0"/>
    <b v="1"/>
    <x v="0"/>
    <s v="year"/>
    <n v="102500"/>
    <m/>
    <s v="Robert Half"/>
    <s v="['sql', 'go', 'sql server', 'oracle', 'snowflake', 'azure', 'tableau', 'power bi']"/>
  </r>
  <r>
    <x v="1"/>
    <s v="Data Engineer (JO-01)"/>
    <s v="St Paul, MN"/>
    <x v="22"/>
    <x v="0"/>
    <b v="0"/>
    <s v="California, United States"/>
    <s v="May"/>
    <d v="2023-05-10T10:09:53"/>
    <b v="1"/>
    <b v="0"/>
    <x v="1"/>
    <s v="year"/>
    <n v="115000"/>
    <m/>
    <s v="Ledgent Technology"/>
    <s v="['sql', 'mongodb', 'mongodb', 'azure']"/>
  </r>
  <r>
    <x v="4"/>
    <s v="(CA Only Remote) Data Scientist-E-Commerce"/>
    <s v="Anywhere"/>
    <x v="4"/>
    <x v="0"/>
    <b v="1"/>
    <s v="Georgia"/>
    <s v="October"/>
    <d v="2023-10-28T10:35:04"/>
    <b v="0"/>
    <b v="0"/>
    <x v="1"/>
    <s v="year"/>
    <n v="120000"/>
    <m/>
    <s v="Jobot"/>
    <s v="['sql', 'python', 'bigquery', 'excel']"/>
  </r>
  <r>
    <x v="4"/>
    <s v="Earth Observation Data Scientist - Contract to Hire"/>
    <s v="Anywhere"/>
    <x v="16"/>
    <x v="0"/>
    <b v="1"/>
    <s v="Texas, United States"/>
    <s v="February"/>
    <d v="2023-02-08T16:04:29"/>
    <b v="0"/>
    <b v="0"/>
    <x v="1"/>
    <s v="hour"/>
    <m/>
    <n v="30.5"/>
    <s v="Upwork"/>
    <s v="['aws']"/>
  </r>
  <r>
    <x v="4"/>
    <s v="Data Scientist in Programmatic Advertising - Contract to Hire"/>
    <s v="Anywhere"/>
    <x v="16"/>
    <x v="5"/>
    <b v="1"/>
    <s v="Illinois, United States"/>
    <s v="December"/>
    <d v="2023-12-15T18:03:25"/>
    <b v="0"/>
    <b v="0"/>
    <x v="1"/>
    <s v="hour"/>
    <m/>
    <n v="42.5"/>
    <s v="Upwork"/>
    <s v="['python', 'java', 'scala', 'aws', 'azure', 'gcp', 'spark', 'hadoop']"/>
  </r>
  <r>
    <x v="6"/>
    <s v="Sr.Data Analyst"/>
    <s v="Dallas, TX"/>
    <x v="6"/>
    <x v="0"/>
    <b v="0"/>
    <s v="Texas, United States"/>
    <s v="June"/>
    <d v="2023-06-29T07:01:48"/>
    <b v="0"/>
    <b v="0"/>
    <x v="1"/>
    <s v="year"/>
    <n v="90000"/>
    <m/>
    <s v="Vanguard Group"/>
    <m/>
  </r>
  <r>
    <x v="0"/>
    <s v="Senior Data Scientist"/>
    <s v="Austin, TX"/>
    <x v="1"/>
    <x v="0"/>
    <b v="0"/>
    <s v="Texas, United States"/>
    <s v="January"/>
    <d v="2023-01-04T22:04:22"/>
    <b v="0"/>
    <b v="1"/>
    <x v="1"/>
    <s v="year"/>
    <n v="145000"/>
    <m/>
    <s v="CyberCoders"/>
    <s v="['python', 'azure', 'pytorch', 'tensorflow', 'opencv', 'datarobot']"/>
  </r>
  <r>
    <x v="1"/>
    <s v="Senior Director, Data Engineer - Remote - Now Hiring"/>
    <s v="Charlotte, NC"/>
    <x v="3"/>
    <x v="0"/>
    <b v="0"/>
    <s v="California, United States"/>
    <s v="August"/>
    <d v="2023-08-19T15:06:17"/>
    <b v="0"/>
    <b v="1"/>
    <x v="1"/>
    <s v="hour"/>
    <m/>
    <n v="50.870002749999998"/>
    <s v="GXO Logistics"/>
    <s v="['excel']"/>
  </r>
  <r>
    <x v="1"/>
    <s v="Data Engineer"/>
    <s v="Pittsburgh, PA"/>
    <x v="6"/>
    <x v="0"/>
    <b v="0"/>
    <s v="Georgia"/>
    <s v="April"/>
    <d v="2023-04-17T07:39:20"/>
    <b v="0"/>
    <b v="0"/>
    <x v="1"/>
    <s v="year"/>
    <n v="125000"/>
    <m/>
    <s v="Maven Wave Partners"/>
    <s v="['python', 'java', 'sql', 'aws', 'azure', 'gcp', 'bigquery', 'redshift', 'snowflake', 'spark', 'hadoop']"/>
  </r>
  <r>
    <x v="1"/>
    <s v="Sr. Data Engineer"/>
    <s v="Hartford, CT"/>
    <x v="6"/>
    <x v="0"/>
    <b v="0"/>
    <s v="Illinois, United States"/>
    <s v="June"/>
    <d v="2023-06-01T09:34:52"/>
    <b v="0"/>
    <b v="0"/>
    <x v="1"/>
    <s v="year"/>
    <n v="150000"/>
    <m/>
    <s v="The Hartford Financial Services Group, Inc"/>
    <s v="['sql', 'r', 'oracle', 'snowflake', 'aws']"/>
  </r>
  <r>
    <x v="6"/>
    <s v="Healthcare Data Analyst I"/>
    <s v="Anywhere"/>
    <x v="3"/>
    <x v="1"/>
    <b v="1"/>
    <s v="Illinois, United States"/>
    <s v="October"/>
    <d v="2023-10-13T12:01:57"/>
    <b v="0"/>
    <b v="1"/>
    <x v="1"/>
    <s v="hour"/>
    <m/>
    <n v="17.959999079999999"/>
    <s v="Navient - Xtend Healthcare"/>
    <s v="['c', 'sql', 'excel']"/>
  </r>
  <r>
    <x v="0"/>
    <s v="Senior Data Scientist"/>
    <s v="Anywhere"/>
    <x v="1"/>
    <x v="0"/>
    <b v="1"/>
    <s v="Illinois, United States"/>
    <s v="April"/>
    <d v="2023-04-11T19:24:37"/>
    <b v="0"/>
    <b v="1"/>
    <x v="1"/>
    <s v="year"/>
    <n v="155000"/>
    <m/>
    <s v="Beam"/>
    <s v="['sql', 'python', 'r', 'aws', 'gcp', 'pytorch', 'tensorflow', 'scikit-learn']"/>
  </r>
  <r>
    <x v="1"/>
    <s v="Data Engineer"/>
    <s v="New York, NY"/>
    <x v="4"/>
    <x v="0"/>
    <b v="0"/>
    <s v="Illinois, United States"/>
    <s v="November"/>
    <d v="2023-11-09T09:08:24"/>
    <b v="0"/>
    <b v="0"/>
    <x v="1"/>
    <s v="year"/>
    <n v="145000"/>
    <m/>
    <s v="People Source Consulting"/>
    <s v="['python', 'scala', 'java', 'sql', 'nosql', 'hadoop', 'spark']"/>
  </r>
  <r>
    <x v="4"/>
    <s v="Data Scientist"/>
    <s v="Tallinn, Estonia"/>
    <x v="2"/>
    <x v="0"/>
    <b v="0"/>
    <s v="Estonia"/>
    <s v="August"/>
    <d v="2023-08-08T13:52:01"/>
    <b v="0"/>
    <b v="0"/>
    <x v="9"/>
    <s v="year"/>
    <n v="157500"/>
    <m/>
    <s v="Jobbatical"/>
    <s v="['sql', 'python', 'node', 'looker', 'github']"/>
  </r>
  <r>
    <x v="4"/>
    <s v="Data Scientist (Healthcare)"/>
    <s v="Nea Smyrni, Greece"/>
    <x v="2"/>
    <x v="0"/>
    <b v="0"/>
    <s v="Greece"/>
    <s v="July"/>
    <d v="2023-07-06T21:22:12"/>
    <b v="0"/>
    <b v="0"/>
    <x v="10"/>
    <s v="year"/>
    <n v="90670"/>
    <m/>
    <s v="WINGS-ICT-SOLUTIONS"/>
    <s v="['python', 'pytorch', 'tensorflow']"/>
  </r>
  <r>
    <x v="1"/>
    <s v="Associate, Data Engineer"/>
    <s v="Baltimore, MD"/>
    <x v="1"/>
    <x v="0"/>
    <b v="0"/>
    <s v="Illinois, United States"/>
    <s v="August"/>
    <d v="2023-08-31T12:15:27"/>
    <b v="0"/>
    <b v="1"/>
    <x v="1"/>
    <s v="year"/>
    <n v="67900"/>
    <m/>
    <s v="KPMG"/>
    <s v="['python', 'sql', 'go', 'jira']"/>
  </r>
  <r>
    <x v="4"/>
    <s v="Want to be Data Scientist"/>
    <s v="Atlanta, GA"/>
    <x v="1"/>
    <x v="0"/>
    <b v="0"/>
    <s v="Georgia"/>
    <s v="November"/>
    <d v="2023-11-30T16:55:32"/>
    <b v="0"/>
    <b v="1"/>
    <x v="1"/>
    <s v="hour"/>
    <m/>
    <n v="36.5"/>
    <s v="Tech Consulting"/>
    <s v="['python', 'java', 'r', 'sql', 'pandas', 'numpy', 'matplotlib', 'seaborn', 'tableau', 'power bi']"/>
  </r>
  <r>
    <x v="5"/>
    <s v="Senior Data Engineer (AWS, python, Devops, Snowflake)"/>
    <s v="Rockford, IL"/>
    <x v="22"/>
    <x v="0"/>
    <b v="0"/>
    <s v="New York, United States"/>
    <s v="March"/>
    <d v="2023-03-30T12:05:55"/>
    <b v="0"/>
    <b v="1"/>
    <x v="1"/>
    <s v="year"/>
    <n v="173500"/>
    <m/>
    <s v="Capital One"/>
    <s v="['python', 'java', 'scala', 'nosql', 'sql', 'mongo', 'shell', 'mysql', 'cassandra', 'aws', 'snowflake', 'redshift', 'azure', 'hadoop', 'kafka', 'spark']"/>
  </r>
  <r>
    <x v="1"/>
    <s v="Sr. Data Engineer"/>
    <s v="McKinney, TX"/>
    <x v="1"/>
    <x v="0"/>
    <b v="0"/>
    <s v="Texas, United States"/>
    <s v="June"/>
    <d v="2023-06-06T08:07:10"/>
    <b v="1"/>
    <b v="0"/>
    <x v="1"/>
    <s v="year"/>
    <n v="145000"/>
    <m/>
    <s v="CyberCoders"/>
    <s v="['nosql', 'databricks', 'spark']"/>
  </r>
  <r>
    <x v="1"/>
    <s v="Linux/Data Engineer"/>
    <s v="Fort Meade, MD"/>
    <x v="4"/>
    <x v="0"/>
    <b v="0"/>
    <s v="Illinois, United States"/>
    <s v="July"/>
    <d v="2023-07-07T01:08:41"/>
    <b v="0"/>
    <b v="1"/>
    <x v="1"/>
    <s v="year"/>
    <n v="129500"/>
    <m/>
    <s v="VSolvit"/>
    <s v="['java', 'linux', 'flow', 'docker', 'kubernetes']"/>
  </r>
  <r>
    <x v="2"/>
    <s v="Sr-level Data Analyst/Engineer"/>
    <s v="Augusta, GA"/>
    <x v="1"/>
    <x v="0"/>
    <b v="0"/>
    <s v="Georgia"/>
    <s v="September"/>
    <d v="2023-09-01T00:29:47"/>
    <b v="0"/>
    <b v="1"/>
    <x v="1"/>
    <s v="year"/>
    <n v="145500"/>
    <m/>
    <s v="Peraton"/>
    <s v="['assembly', 'python', 'aws', 'azure', 'pandas', 'matplotlib', 'jupyter']"/>
  </r>
  <r>
    <x v="1"/>
    <s v="Principal Data Engineer (San Diego)"/>
    <s v="San Diego, CA"/>
    <x v="23"/>
    <x v="0"/>
    <b v="0"/>
    <s v="California, United States"/>
    <s v="March"/>
    <d v="2023-03-25T14:10:28"/>
    <b v="0"/>
    <b v="1"/>
    <x v="1"/>
    <s v="year"/>
    <n v="131000"/>
    <m/>
    <s v="Northrop Grumman"/>
    <s v="['r', 'sql', 'python', 'c++', 'javascript', 'sql server', 'aws', 'pandas', 'tensorflow', 'pytorch', 'matplotlib', 'seaborn', 'django', 'flask', 'linux', 'tableau', 'docker']"/>
  </r>
  <r>
    <x v="6"/>
    <s v="Marketing Data Analyst"/>
    <s v="Plano, TX"/>
    <x v="19"/>
    <x v="0"/>
    <b v="0"/>
    <s v="Texas, United States"/>
    <s v="December"/>
    <d v="2023-12-13T09:02:07"/>
    <b v="0"/>
    <b v="0"/>
    <x v="1"/>
    <s v="year"/>
    <n v="70000"/>
    <m/>
    <s v="Bank of America Corporation"/>
    <s v="['sas', 'sas', 'python', 'spark', 'microstrategy', 'excel', 'tableau']"/>
  </r>
  <r>
    <x v="1"/>
    <s v="ML Pipeline Data Engineer for Weather Data"/>
    <s v="Anywhere"/>
    <x v="16"/>
    <x v="2"/>
    <b v="1"/>
    <s v="New York, United States"/>
    <s v="March"/>
    <d v="2023-03-15T16:05:35"/>
    <b v="0"/>
    <b v="0"/>
    <x v="1"/>
    <s v="hour"/>
    <m/>
    <n v="40"/>
    <s v="Upwork"/>
    <s v="['aws', 'kubernetes']"/>
  </r>
  <r>
    <x v="2"/>
    <s v="Senior IT Analyst (Data Scientist)"/>
    <s v="Irving, TX"/>
    <x v="6"/>
    <x v="0"/>
    <b v="0"/>
    <s v="Texas, United States"/>
    <s v="May"/>
    <d v="2023-05-06T12:03:27"/>
    <b v="0"/>
    <b v="0"/>
    <x v="1"/>
    <s v="year"/>
    <n v="125000"/>
    <m/>
    <s v="Caterpillar, Inc"/>
    <s v="['python', 'snowflake']"/>
  </r>
  <r>
    <x v="2"/>
    <s v="[Job-10949] Senior Data Architect, Brasil"/>
    <s v="Brazil"/>
    <x v="2"/>
    <x v="0"/>
    <b v="0"/>
    <s v="Brazil"/>
    <s v="July"/>
    <d v="2023-07-18T09:43:29"/>
    <b v="1"/>
    <b v="0"/>
    <x v="11"/>
    <s v="year"/>
    <n v="165000"/>
    <m/>
    <s v="CI&amp;T"/>
    <s v="['sql', 'no-sql', 'mongodb', 'mongodb', 'mysql', 'neo4j', 'cassandra', 'snowflake', 'redshift', 'bigquery', 'databricks', 'aws', 'spark']"/>
  </r>
  <r>
    <x v="4"/>
    <s v="Data Scientist active TS/SCI - Full-time / Part-time"/>
    <s v="Tysons, VA"/>
    <x v="3"/>
    <x v="1"/>
    <b v="0"/>
    <s v="New York, United States"/>
    <s v="September"/>
    <d v="2023-09-28T06:02:51"/>
    <b v="0"/>
    <b v="0"/>
    <x v="1"/>
    <s v="hour"/>
    <m/>
    <n v="47.620002749999998"/>
    <s v="LMI Consulting, LLC"/>
    <s v="['scala', 'python', 'java']"/>
  </r>
  <r>
    <x v="6"/>
    <s v="Entry Level Data Analyst"/>
    <s v="Los Angeles, CA"/>
    <x v="0"/>
    <x v="0"/>
    <b v="0"/>
    <s v="California, United States"/>
    <s v="August"/>
    <d v="2023-08-22T06:01:19"/>
    <b v="0"/>
    <b v="0"/>
    <x v="1"/>
    <s v="hour"/>
    <m/>
    <n v="28"/>
    <s v="Arsenault"/>
    <s v="['sql']"/>
  </r>
  <r>
    <x v="1"/>
    <s v="Tableau Data Engineer (Healthcare) - Remote (12-month contract)"/>
    <s v="Anywhere"/>
    <x v="14"/>
    <x v="8"/>
    <b v="1"/>
    <s v="New York, United States"/>
    <s v="September"/>
    <d v="2023-09-09T11:00:06"/>
    <b v="0"/>
    <b v="1"/>
    <x v="1"/>
    <s v="hour"/>
    <m/>
    <n v="45"/>
    <s v="Amazee Global Ventures Inc,"/>
    <s v="['sql', 'tableau']"/>
  </r>
  <r>
    <x v="7"/>
    <s v="IT Junior Analyst - REMOTE"/>
    <s v="Anywhere"/>
    <x v="0"/>
    <x v="2"/>
    <b v="1"/>
    <s v="Texas, United States"/>
    <s v="October"/>
    <d v="2023-10-31T21:01:26"/>
    <b v="0"/>
    <b v="0"/>
    <x v="1"/>
    <s v="hour"/>
    <m/>
    <n v="33.5"/>
    <s v="Agility 360"/>
    <m/>
  </r>
  <r>
    <x v="1"/>
    <s v="Data Engineer"/>
    <s v="Ipswich, MA"/>
    <x v="3"/>
    <x v="1"/>
    <b v="0"/>
    <s v="Florida, United States"/>
    <s v="November"/>
    <d v="2023-11-05T19:07:28"/>
    <b v="0"/>
    <b v="0"/>
    <x v="1"/>
    <s v="hour"/>
    <m/>
    <n v="56.475002289999999"/>
    <s v="New England Biolabs"/>
    <s v="['sql', 'java', 'c#', 'python', 'sql server', 'databricks', 'azure', 'aws', 'sap']"/>
  </r>
  <r>
    <x v="4"/>
    <s v="Data Scientist"/>
    <s v="Mooresville, NC"/>
    <x v="6"/>
    <x v="0"/>
    <b v="0"/>
    <s v="Illinois, United States"/>
    <s v="April"/>
    <d v="2023-04-07T07:03:06"/>
    <b v="0"/>
    <b v="0"/>
    <x v="1"/>
    <s v="year"/>
    <n v="125000"/>
    <m/>
    <s v="Lowe’s"/>
    <s v="['python', 'java', 'scala', 'rust', 'sql', 'hadoop', 'spark']"/>
  </r>
  <r>
    <x v="6"/>
    <s v="Data Analyst II (Healthcare Analytics)"/>
    <s v="Lake View Terrace, CA"/>
    <x v="23"/>
    <x v="0"/>
    <b v="0"/>
    <s v="California, United States"/>
    <s v="May"/>
    <d v="2023-05-11T21:01:24"/>
    <b v="0"/>
    <b v="1"/>
    <x v="1"/>
    <s v="year"/>
    <n v="74050"/>
    <m/>
    <s v="Health Net"/>
    <s v="['sql', 'python', 'r', 'excel']"/>
  </r>
  <r>
    <x v="4"/>
    <s v="Data Science Intern - Now Hiring"/>
    <s v="Anywhere"/>
    <x v="3"/>
    <x v="3"/>
    <b v="1"/>
    <s v="Texas, United States"/>
    <s v="October"/>
    <d v="2023-10-12T21:05:50"/>
    <b v="0"/>
    <b v="1"/>
    <x v="1"/>
    <s v="hour"/>
    <m/>
    <n v="33.114997860000003"/>
    <s v="Experian"/>
    <s v="['python', 'r', 'java', 'c++', 'c']"/>
  </r>
  <r>
    <x v="0"/>
    <s v="Senior Data Scientist, Customer Modeling - Now Hiring"/>
    <s v="Miami, FL"/>
    <x v="3"/>
    <x v="1"/>
    <b v="0"/>
    <s v="Georgia"/>
    <s v="November"/>
    <d v="2023-11-05T19:13:59"/>
    <b v="0"/>
    <b v="0"/>
    <x v="1"/>
    <s v="hour"/>
    <m/>
    <n v="40.099998470000003"/>
    <s v="Lennar Corporation"/>
    <s v="['python', 'sql']"/>
  </r>
  <r>
    <x v="4"/>
    <s v="Data Science Lead"/>
    <s v="Cyprus"/>
    <x v="2"/>
    <x v="0"/>
    <b v="0"/>
    <s v="Cyprus"/>
    <s v="December"/>
    <d v="2023-12-31T02:29:17"/>
    <b v="0"/>
    <b v="0"/>
    <x v="12"/>
    <s v="year"/>
    <n v="191000"/>
    <m/>
    <s v="Palta"/>
    <s v="['python']"/>
  </r>
  <r>
    <x v="1"/>
    <s v="Data Engineer (Hybrid location)"/>
    <s v="Portland, OR"/>
    <x v="6"/>
    <x v="0"/>
    <b v="0"/>
    <s v="Texas, United States"/>
    <s v="February"/>
    <d v="2023-02-17T07:11:38"/>
    <b v="0"/>
    <b v="0"/>
    <x v="1"/>
    <s v="year"/>
    <n v="90000"/>
    <m/>
    <s v="Columbia Sportswear"/>
    <s v="['sql', 'azure', 'databricks', 'pyspark']"/>
  </r>
  <r>
    <x v="2"/>
    <s v="Sr Business Data Analyst - Now Hiring"/>
    <s v="Westwood, MA"/>
    <x v="3"/>
    <x v="1"/>
    <b v="0"/>
    <s v="New York, United States"/>
    <s v="November"/>
    <d v="2023-11-06T02:00:06"/>
    <b v="0"/>
    <b v="0"/>
    <x v="1"/>
    <s v="hour"/>
    <m/>
    <n v="27.435001369999998"/>
    <s v="Citizens"/>
    <s v="['sas', 'sas', 'sql', 'oracle', 'redshift', 'windows', 'tableau']"/>
  </r>
  <r>
    <x v="6"/>
    <s v="Data Analyst"/>
    <s v="Washington, DC"/>
    <x v="12"/>
    <x v="0"/>
    <b v="0"/>
    <s v="New York, United States"/>
    <s v="April"/>
    <d v="2023-04-19T00:00:08"/>
    <b v="1"/>
    <b v="0"/>
    <x v="1"/>
    <s v="year"/>
    <n v="85000"/>
    <m/>
    <s v="Robert Half"/>
    <s v="['go', 'flow']"/>
  </r>
  <r>
    <x v="3"/>
    <s v="(Senior) Machine Learning Inference Engineer"/>
    <s v="Munich, Germany"/>
    <x v="2"/>
    <x v="0"/>
    <b v="0"/>
    <s v="Germany"/>
    <s v="February"/>
    <d v="2023-02-11T06:15:38"/>
    <b v="0"/>
    <b v="0"/>
    <x v="6"/>
    <s v="year"/>
    <n v="89100"/>
    <m/>
    <s v="Brainlab"/>
    <s v="['python']"/>
  </r>
  <r>
    <x v="1"/>
    <s v="Data Engineer"/>
    <s v="Gaithersburg, MD"/>
    <x v="6"/>
    <x v="0"/>
    <b v="0"/>
    <s v="Illinois, United States"/>
    <s v="August"/>
    <d v="2023-08-27T06:08:21"/>
    <b v="0"/>
    <b v="0"/>
    <x v="1"/>
    <s v="year"/>
    <n v="100000"/>
    <m/>
    <s v="AstraZeneca"/>
    <s v="['swift', 'python', 'sql', 'redshift', 'oracle', 'aws', 'databricks', 'pandas', 'numpy', 'kubernetes', 'bitbucket', 'git']"/>
  </r>
  <r>
    <x v="1"/>
    <s v="Senior Data Engineer (Python / AWS) - Now Hiring"/>
    <s v="Matthews, NC"/>
    <x v="3"/>
    <x v="1"/>
    <b v="0"/>
    <s v="Georgia"/>
    <s v="October"/>
    <d v="2023-10-18T20:45:40"/>
    <b v="0"/>
    <b v="1"/>
    <x v="1"/>
    <s v="hour"/>
    <m/>
    <n v="50.870002749999998"/>
    <s v="Jobot"/>
    <s v="['python', 'aws', 'aurora']"/>
  </r>
  <r>
    <x v="6"/>
    <s v="Data Analyst"/>
    <s v="Austin, TX"/>
    <x v="12"/>
    <x v="2"/>
    <b v="0"/>
    <s v="Texas, United States"/>
    <s v="April"/>
    <d v="2023-04-27T17:01:04"/>
    <b v="1"/>
    <b v="0"/>
    <x v="1"/>
    <s v="hour"/>
    <m/>
    <n v="62.5"/>
    <s v="CA-One Tech Cloud Inc."/>
    <s v="['python', 'sql', 'azure', 'databricks']"/>
  </r>
  <r>
    <x v="1"/>
    <s v="Data Engineer (TS/SCI)"/>
    <s v="Spring Lake, NC"/>
    <x v="24"/>
    <x v="0"/>
    <b v="0"/>
    <s v="Illinois, United States"/>
    <s v="September"/>
    <d v="2023-09-18T23:52:48"/>
    <b v="0"/>
    <b v="0"/>
    <x v="1"/>
    <s v="hour"/>
    <m/>
    <n v="24"/>
    <s v="Gables Search Group"/>
    <s v="['java', 'python', 'pandas', 'pyspark', 'hadoop', 'github']"/>
  </r>
  <r>
    <x v="4"/>
    <s v="Data Scientist"/>
    <s v="Seville, Spain"/>
    <x v="2"/>
    <x v="0"/>
    <b v="0"/>
    <s v="Spain"/>
    <s v="February"/>
    <d v="2023-02-27T08:15:31"/>
    <b v="0"/>
    <b v="0"/>
    <x v="7"/>
    <s v="year"/>
    <n v="88128"/>
    <m/>
    <s v="AxesinMotion"/>
    <m/>
  </r>
  <r>
    <x v="4"/>
    <s v="Research Analyst (Data Scientist II) - Now Hiring"/>
    <s v="Anywhere"/>
    <x v="3"/>
    <x v="1"/>
    <b v="1"/>
    <s v="Georgia"/>
    <s v="December"/>
    <d v="2023-12-07T19:04:31"/>
    <b v="0"/>
    <b v="0"/>
    <x v="1"/>
    <s v="hour"/>
    <m/>
    <n v="47.620002749999998"/>
    <s v="CNA Corporation"/>
    <m/>
  </r>
  <r>
    <x v="8"/>
    <s v="Business System Analyst"/>
    <s v="Charlotte, NC"/>
    <x v="1"/>
    <x v="0"/>
    <b v="0"/>
    <s v="Georgia"/>
    <s v="February"/>
    <d v="2023-02-14T14:50:02"/>
    <b v="0"/>
    <b v="0"/>
    <x v="1"/>
    <s v="year"/>
    <n v="105000"/>
    <m/>
    <s v="Arthur Grand Technologies Inc"/>
    <s v="['sql']"/>
  </r>
  <r>
    <x v="2"/>
    <s v="DBI - Sr. Data Science Analyst (Non-Civil Service)"/>
    <s v="Dallas, TX"/>
    <x v="1"/>
    <x v="0"/>
    <b v="0"/>
    <s v="Sudan"/>
    <s v="July"/>
    <d v="2023-07-10T20:59:49"/>
    <b v="0"/>
    <b v="1"/>
    <x v="0"/>
    <s v="year"/>
    <n v="78841"/>
    <m/>
    <s v="City of Dallas, TX"/>
    <s v="['matlab', 'keras', 'tensorflow', 'pytorch', 'tableau', 'spss']"/>
  </r>
  <r>
    <x v="0"/>
    <s v="Senior Data Scientist Digital Effectiveness Operations ..."/>
    <s v="Derby, KS"/>
    <x v="0"/>
    <x v="0"/>
    <b v="0"/>
    <s v="Illinois, United States"/>
    <s v="February"/>
    <d v="2023-02-11T10:07:50"/>
    <b v="0"/>
    <b v="1"/>
    <x v="1"/>
    <s v="year"/>
    <n v="116700"/>
    <m/>
    <s v="Cox Communications"/>
    <s v="['sql', 'python', 'aws', 'pandas', 'numpy', 'scikit-learn', 'pyspark', 'tableau', 'git']"/>
  </r>
  <r>
    <x v="1"/>
    <s v="Systems &amp; Data Engineer"/>
    <s v="Boston, MA"/>
    <x v="4"/>
    <x v="0"/>
    <b v="0"/>
    <s v="Illinois, United States"/>
    <s v="January"/>
    <d v="2023-01-26T16:12:29"/>
    <b v="0"/>
    <b v="1"/>
    <x v="1"/>
    <s v="year"/>
    <n v="75000"/>
    <m/>
    <s v="New England Board of Higher Education"/>
    <s v="['sql', 'python', 'r', 'java', 'scala', 'aws', 'azure', 'tableau']"/>
  </r>
  <r>
    <x v="1"/>
    <s v="2024 University Graduate - Data Science Engineer - Now Hiring"/>
    <s v="Columbus, OH"/>
    <x v="3"/>
    <x v="0"/>
    <b v="0"/>
    <s v="Georgia"/>
    <s v="September"/>
    <d v="2023-09-24T14:26:36"/>
    <b v="0"/>
    <b v="0"/>
    <x v="1"/>
    <s v="hour"/>
    <m/>
    <n v="33.430000309999997"/>
    <s v="Adobe"/>
    <s v="['sql', 'mongo', 'python', 'r', 'aws', 'azure', 'openstack', 'hadoop']"/>
  </r>
  <r>
    <x v="5"/>
    <s v="Sr. Data Engineer (On-site NYC)"/>
    <s v="New York, NY"/>
    <x v="4"/>
    <x v="0"/>
    <b v="0"/>
    <s v="Georgia"/>
    <s v="October"/>
    <d v="2023-10-10T13:42:46"/>
    <b v="0"/>
    <b v="0"/>
    <x v="1"/>
    <s v="year"/>
    <n v="117500"/>
    <m/>
    <s v="Oakridge Staffing"/>
    <s v="['python', 'sql', 'postgresql', 'aws', 'redshift', 'bigquery', 'spark', 'airflow', 'looker', 'docker']"/>
  </r>
  <r>
    <x v="4"/>
    <s v="Data Scientist Jobs"/>
    <s v="Tampa, FL"/>
    <x v="25"/>
    <x v="0"/>
    <b v="0"/>
    <s v="Florida, United States"/>
    <s v="August"/>
    <d v="2023-08-10T14:04:36"/>
    <b v="0"/>
    <b v="0"/>
    <x v="1"/>
    <s v="year"/>
    <n v="95000"/>
    <m/>
    <s v="STEMboard"/>
    <s v="['r', 'python', 'databricks', 'ibm cloud', 'snowflake', 'numpy', 'pandas', 'tableau', 'power bi']"/>
  </r>
  <r>
    <x v="5"/>
    <s v="Senior Data Engineer (Python, AWS, Airflow, Snowflake)"/>
    <s v="Huntsville, AL"/>
    <x v="13"/>
    <x v="0"/>
    <b v="0"/>
    <s v="Sudan"/>
    <s v="July"/>
    <d v="2023-07-05T11:09:34"/>
    <b v="0"/>
    <b v="1"/>
    <x v="0"/>
    <s v="year"/>
    <n v="173500"/>
    <m/>
    <s v="Capital One"/>
    <s v="['python', 'java', 'scala', 'nosql', 'sql', 'mongo', 'shell', 'mysql', 'cassandra', 'aws', 'snowflake', 'redshift', 'azure', 'airflow', 'hadoop', 'kafka', 'spark']"/>
  </r>
  <r>
    <x v="1"/>
    <s v="Lead Data Engineer, Remote (Buffalo, NY)"/>
    <s v="Buffalo, NY"/>
    <x v="26"/>
    <x v="0"/>
    <b v="0"/>
    <s v="New York, United States"/>
    <s v="February"/>
    <d v="2023-02-21T11:27:08"/>
    <b v="0"/>
    <b v="1"/>
    <x v="1"/>
    <s v="year"/>
    <n v="107850"/>
    <m/>
    <s v="Delaware North"/>
    <s v="['python', 'mongodb', 'mongodb', 'javascript', 'nosql', 'postgresql', 'mysql', 'redshift', 'airflow', 'django']"/>
  </r>
  <r>
    <x v="5"/>
    <s v="Senior Data Engineer"/>
    <s v="Atlanta, GA"/>
    <x v="2"/>
    <x v="0"/>
    <b v="0"/>
    <s v="California, United States"/>
    <s v="July"/>
    <d v="2023-07-04T17:07:01"/>
    <b v="0"/>
    <b v="1"/>
    <x v="1"/>
    <s v="year"/>
    <n v="147500"/>
    <m/>
    <s v="Visa"/>
    <s v="['python', 'sql', 'aws', 'gcp', 'azure', 'hadoop', 'spark', 'pandas', 'numpy', 'ssis', 'tableau', 'power bi']"/>
  </r>
  <r>
    <x v="1"/>
    <s v="Data Engineer"/>
    <s v="Anywhere"/>
    <x v="4"/>
    <x v="0"/>
    <b v="1"/>
    <s v="Florida, United States"/>
    <s v="January"/>
    <d v="2023-01-18T15:12:58"/>
    <b v="1"/>
    <b v="0"/>
    <x v="1"/>
    <s v="year"/>
    <n v="105000"/>
    <m/>
    <s v="HirePlace"/>
    <s v="['no-sql', 'sql', 'python', 'scala', 'java', 'bash', 'powershell', 'azure', 'databricks', 'spark']"/>
  </r>
  <r>
    <x v="1"/>
    <s v="Data Engineer"/>
    <s v="Cedar Rapids, IA"/>
    <x v="4"/>
    <x v="0"/>
    <b v="0"/>
    <s v="Texas, United States"/>
    <s v="March"/>
    <d v="2023-03-14T19:14:00"/>
    <b v="0"/>
    <b v="0"/>
    <x v="1"/>
    <s v="year"/>
    <n v="110000"/>
    <m/>
    <s v="Robert Half"/>
    <s v="['sql', 'go', 'sql server', 'azure', 'databricks', 'spark', 'kafka', 'ssis']"/>
  </r>
  <r>
    <x v="1"/>
    <s v="Data Visualization Engineer"/>
    <s v="San Francisco, CA"/>
    <x v="4"/>
    <x v="0"/>
    <b v="0"/>
    <s v="Georgia"/>
    <s v="March"/>
    <d v="2023-03-07T22:19:37"/>
    <b v="0"/>
    <b v="0"/>
    <x v="1"/>
    <s v="year"/>
    <n v="145000"/>
    <m/>
    <s v="iShare Inc."/>
    <s v="['sql', 'tableau']"/>
  </r>
  <r>
    <x v="5"/>
    <s v="Senior Data Engineer"/>
    <s v="Texas"/>
    <x v="4"/>
    <x v="2"/>
    <b v="0"/>
    <s v="New York, United States"/>
    <s v="June"/>
    <d v="2023-06-05T13:08:06"/>
    <b v="0"/>
    <b v="0"/>
    <x v="1"/>
    <s v="hour"/>
    <m/>
    <n v="85"/>
    <s v="InterEx Group"/>
    <s v="['python', 'sql', 'postgresql', 'mysql', 'aws', 'redshift', 'snowflake', 'spark', 'docker', 'kubernetes']"/>
  </r>
  <r>
    <x v="4"/>
    <s v="W2 Data Scientist"/>
    <s v="Oak Brook, IL"/>
    <x v="4"/>
    <x v="0"/>
    <b v="0"/>
    <s v="Illinois, United States"/>
    <s v="March"/>
    <d v="2023-03-22T22:12:12"/>
    <b v="0"/>
    <b v="0"/>
    <x v="1"/>
    <s v="year"/>
    <n v="106500"/>
    <m/>
    <s v="Insight Global"/>
    <s v="['python', 'r', 'databricks', 'azure', 'alteryx']"/>
  </r>
  <r>
    <x v="6"/>
    <s v="SAS Programming Data Analyst - Now Hiring"/>
    <s v="Anywhere"/>
    <x v="3"/>
    <x v="0"/>
    <b v="1"/>
    <s v="Texas, United States"/>
    <s v="August"/>
    <d v="2023-08-15T18:01:16"/>
    <b v="0"/>
    <b v="0"/>
    <x v="1"/>
    <s v="hour"/>
    <m/>
    <n v="16.510000229999999"/>
    <s v="University of Texas at Austin"/>
    <s v="['sas', 'sas', 'c', 'excel']"/>
  </r>
  <r>
    <x v="1"/>
    <s v="Sr. Data Engineer"/>
    <s v="Anywhere"/>
    <x v="1"/>
    <x v="0"/>
    <b v="1"/>
    <s v="California, United States"/>
    <s v="May"/>
    <d v="2023-05-31T21:07:00"/>
    <b v="0"/>
    <b v="1"/>
    <x v="1"/>
    <s v="hour"/>
    <m/>
    <n v="70"/>
    <s v="Insight Global"/>
    <s v="['sql', 'snowflake', 'jira']"/>
  </r>
  <r>
    <x v="6"/>
    <s v="Data Analyst"/>
    <s v="Waco, TX"/>
    <x v="19"/>
    <x v="0"/>
    <b v="0"/>
    <s v="Texas, United States"/>
    <s v="December"/>
    <d v="2023-12-21T11:01:05"/>
    <b v="0"/>
    <b v="0"/>
    <x v="1"/>
    <s v="year"/>
    <n v="65000"/>
    <m/>
    <s v="Glazer's Beer and Beverage of TX, LLC"/>
    <s v="['c', 'word', 'excel', 'outlook']"/>
  </r>
  <r>
    <x v="4"/>
    <s v="Data Scientist - Now Hiring"/>
    <s v="Annandale, VA"/>
    <x v="3"/>
    <x v="1"/>
    <b v="0"/>
    <s v="Georgia"/>
    <s v="September"/>
    <d v="2023-09-12T20:06:01"/>
    <b v="0"/>
    <b v="0"/>
    <x v="1"/>
    <s v="hour"/>
    <m/>
    <n v="47.620002749999998"/>
    <s v="ECS Federal, LLC"/>
    <s v="['sql', 'python', 'java', 'spark']"/>
  </r>
  <r>
    <x v="1"/>
    <s v="Data Engineer"/>
    <s v="Norfolk, VA"/>
    <x v="6"/>
    <x v="0"/>
    <b v="0"/>
    <s v="Texas, United States"/>
    <s v="August"/>
    <d v="2023-08-25T11:09:43"/>
    <b v="0"/>
    <b v="1"/>
    <x v="1"/>
    <s v="year"/>
    <n v="90000"/>
    <m/>
    <s v="PRA Group"/>
    <s v="['t-sql', 'sql', 'sql server', 'azure', 'ssis']"/>
  </r>
  <r>
    <x v="4"/>
    <s v="Data Scientist - Payments"/>
    <s v="San Francisco, CA"/>
    <x v="6"/>
    <x v="0"/>
    <b v="0"/>
    <s v="California, United States"/>
    <s v="April"/>
    <d v="2023-04-25T09:03:17"/>
    <b v="0"/>
    <b v="0"/>
    <x v="1"/>
    <s v="year"/>
    <n v="100000"/>
    <m/>
    <s v="Rippling"/>
    <s v="['c']"/>
  </r>
  <r>
    <x v="6"/>
    <s v="Business Data Analyst"/>
    <s v="Lincoln, RI"/>
    <x v="3"/>
    <x v="0"/>
    <b v="0"/>
    <s v="New York, United States"/>
    <s v="August"/>
    <d v="2023-08-17T22:00:48"/>
    <b v="0"/>
    <b v="1"/>
    <x v="1"/>
    <s v="hour"/>
    <m/>
    <n v="22.69499969"/>
    <s v="Point32Health"/>
    <s v="['sql', 'sas', 'sa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D2320A-58D6-CB49-A916-DEC0740A75C3}"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5:C8" firstHeaderRow="1" firstDataRow="1" firstDataCol="1"/>
  <pivotFields count="18">
    <pivotField dataField="1" showAll="0" sortType="descending">
      <items count="11">
        <item x="7"/>
        <item x="0"/>
        <item x="5"/>
        <item x="2"/>
        <item x="3"/>
        <item sd="0" x="4"/>
        <item x="1"/>
        <item sd="0" x="6"/>
        <item sd="0" x="9"/>
        <item x="8"/>
        <item t="default"/>
      </items>
      <autoSortScope>
        <pivotArea dataOnly="0" outline="0" fieldPosition="0">
          <references count="1">
            <reference field="4294967294" count="1" selected="0">
              <x v="0"/>
            </reference>
          </references>
        </pivotArea>
      </autoSortScope>
    </pivotField>
    <pivotField showAll="0"/>
    <pivotField showAll="0"/>
    <pivotField showAll="0">
      <items count="28">
        <item h="1" x="20"/>
        <item h="1" x="2"/>
        <item h="1" x="19"/>
        <item h="1" x="26"/>
        <item h="1" x="25"/>
        <item h="1" x="12"/>
        <item h="1" x="17"/>
        <item h="1" x="7"/>
        <item h="1" x="18"/>
        <item h="1" x="14"/>
        <item h="1" x="5"/>
        <item h="1" x="1"/>
        <item h="1" x="9"/>
        <item h="1" x="13"/>
        <item h="1" x="6"/>
        <item h="1" x="10"/>
        <item h="1" x="4"/>
        <item h="1" x="11"/>
        <item h="1" x="8"/>
        <item h="1" x="3"/>
        <item h="1" x="24"/>
        <item h="1" x="21"/>
        <item h="1" x="16"/>
        <item h="1" x="22"/>
        <item h="1" x="23"/>
        <item h="1" x="15"/>
        <item x="0"/>
        <item t="default"/>
      </items>
    </pivotField>
    <pivotField showAll="0">
      <items count="10">
        <item x="2"/>
        <item x="5"/>
        <item x="0"/>
        <item x="8"/>
        <item x="1"/>
        <item x="7"/>
        <item x="3"/>
        <item x="4"/>
        <item x="6"/>
        <item t="default"/>
      </items>
    </pivotField>
    <pivotField showAll="0"/>
    <pivotField showAll="0"/>
    <pivotField showAll="0"/>
    <pivotField numFmtId="22" showAll="0"/>
    <pivotField showAll="0"/>
    <pivotField showAll="0"/>
    <pivotField axis="axisRow" multipleItemSelectionAllowed="1" showAll="0" sortType="descending">
      <items count="14">
        <item sd="0" x="11"/>
        <item sd="0" x="4"/>
        <item sd="0" x="5"/>
        <item sd="0" x="12"/>
        <item sd="0" x="9"/>
        <item sd="0" x="2"/>
        <item x="6"/>
        <item sd="0" x="10"/>
        <item x="8"/>
        <item sd="0" x="3"/>
        <item x="7"/>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items count="6">
        <item sd="0" x="3"/>
        <item x="4"/>
        <item sd="0" x="2"/>
        <item sd="0" x="0"/>
        <item sd="0" x="1"/>
        <item t="default"/>
      </items>
    </pivotField>
  </pivotFields>
  <rowFields count="1">
    <field x="11"/>
  </rowFields>
  <rowItems count="3">
    <i>
      <x v="12"/>
    </i>
    <i>
      <x v="11"/>
    </i>
    <i t="grand">
      <x/>
    </i>
  </rowItems>
  <colItems count="1">
    <i/>
  </colItems>
  <dataFields count="1">
    <dataField name="Count of job_title_short" fld="0" subtotal="count" baseField="0" baseItem="0"/>
  </dataFields>
  <chartFormats count="4">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via" xr10:uid="{13C2B78B-AC73-EB4B-AC93-54BAEB936FD1}" sourceName="job_via">
  <pivotTables>
    <pivotTable tabId="3" name="PivotTable2"/>
  </pivotTables>
  <data>
    <tabular pivotCacheId="645929440">
      <items count="27">
        <i x="20"/>
        <i x="2"/>
        <i x="19"/>
        <i x="26"/>
        <i x="25"/>
        <i x="12"/>
        <i x="17"/>
        <i x="7"/>
        <i x="18"/>
        <i x="14"/>
        <i x="5"/>
        <i x="1"/>
        <i x="9"/>
        <i x="13"/>
        <i x="6"/>
        <i x="10"/>
        <i x="4"/>
        <i x="11"/>
        <i x="8"/>
        <i x="3"/>
        <i x="24"/>
        <i x="21"/>
        <i x="16"/>
        <i x="22"/>
        <i x="23"/>
        <i x="15"/>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via" xr10:uid="{459FF8D1-7879-8040-A868-48C010B72CA0}" cache="Slicer_job_via" caption="job_via" columnCount="3"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via 1" xr10:uid="{397CCAF7-0A0A-654B-9F7C-12EC1BA92CA0}" cache="Slicer_job_via" caption="job_via" columnCount="3"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C0F5967-B5E3-EA46-B9C0-DF6D7218D950}" name="sales" displayName="sales" ref="A1:J51" totalsRowShown="0">
  <autoFilter ref="A1:J51" xr:uid="{3C0F5967-B5E3-EA46-B9C0-DF6D7218D950}"/>
  <tableColumns count="10">
    <tableColumn id="1" xr3:uid="{B08A90AE-C507-C34E-BE4C-507B66698AB4}" name="Customer Name"/>
    <tableColumn id="2" xr3:uid="{10659AD4-9396-4D4B-853E-34E1A934938A}" name="Customer Country"/>
    <tableColumn id="3" xr3:uid="{44A62281-6252-6644-89F6-8CF8435F6CC8}" name="Product Sold"/>
    <tableColumn id="4" xr3:uid="{94485B38-551C-ED46-9E9C-0970A70C7188}" name="Sales Channel"/>
    <tableColumn id="5" xr3:uid="{F8AF995D-94C7-AE45-B24E-C640B8041F08}" name="Order Date" dataDxfId="21"/>
    <tableColumn id="6" xr3:uid="{274AFEB6-CF55-5245-B35D-57BE111C9FC0}" name="Quantity"/>
    <tableColumn id="7" xr3:uid="{B64B4328-D77F-ED40-9CA0-2225E8AD7996}" name="Cost"/>
    <tableColumn id="8" xr3:uid="{CCE8C8CB-63BC-FE4B-9135-254C09E6D5BF}" name="Price"/>
    <tableColumn id="9" xr3:uid="{859835A4-DD53-6C45-9AEA-60F56F96E049}" name="Total Cost"/>
    <tableColumn id="10" xr3:uid="{AE9A3953-4979-554A-9309-9ED8E092812B}" name="Tota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3E4ADAC-7480-514C-898C-35615D6B4C9C}" name="emp_data" displayName="emp_data" ref="A1:Q201" totalsRowShown="0" headerRowDxfId="0" dataDxfId="1" headerRowBorderDxfId="19" tableBorderDxfId="20">
  <autoFilter ref="A1:Q201" xr:uid="{23E4ADAC-7480-514C-898C-35615D6B4C9C}"/>
  <tableColumns count="17">
    <tableColumn id="1" xr3:uid="{ACCF6C1D-D79F-6D48-9EB3-CCFC458C753C}" name="job_title_short" dataDxfId="18"/>
    <tableColumn id="2" xr3:uid="{2D901C86-332E-A943-AB2B-041D454746A0}" name="job_title" dataDxfId="17"/>
    <tableColumn id="3" xr3:uid="{9CCCA288-A3CC-B44F-8DB4-2DBD58A33F5C}" name="job_location" dataDxfId="16"/>
    <tableColumn id="4" xr3:uid="{0EA2747E-367E-214B-96D8-E7EE8B211D7A}" name="job_via" dataDxfId="15"/>
    <tableColumn id="5" xr3:uid="{304BBDA1-4277-1645-A7F1-FDF513AD1494}" name="job_schedule_type" dataDxfId="14"/>
    <tableColumn id="6" xr3:uid="{FA381FF1-950A-9946-8F3A-7DE275E0F79B}" name="job_work_from_home" dataDxfId="13"/>
    <tableColumn id="7" xr3:uid="{FD00F36D-B1A3-D547-B921-3C22BF064012}" name="search_location" dataDxfId="12"/>
    <tableColumn id="8" xr3:uid="{5DAB083E-1A2C-9348-8722-78526B9C9F58}" name="JOB_month" dataDxfId="11">
      <calculatedColumnFormula>TEXT(I2,"mmmm")</calculatedColumnFormula>
    </tableColumn>
    <tableColumn id="9" xr3:uid="{27DCC615-906F-1946-A9F2-B874089FA9CF}" name="job_posted_date" dataDxfId="10"/>
    <tableColumn id="10" xr3:uid="{640B46EC-A2A3-F149-BF13-6A35BB9728D5}" name="job_no_degree_mention" dataDxfId="9"/>
    <tableColumn id="11" xr3:uid="{A0C422AC-6779-344D-923B-2482A23CCC1B}" name="job_health_insurance" dataDxfId="8"/>
    <tableColumn id="12" xr3:uid="{4F867E27-34A1-2040-9067-84EAC0796509}" name="job_country" dataDxfId="7"/>
    <tableColumn id="13" xr3:uid="{13C3815D-F43D-CB45-A089-E6F5D9E3B66D}" name="salary_rate" dataDxfId="6"/>
    <tableColumn id="14" xr3:uid="{9D56580C-8645-1144-94E4-9FEAB7958DE5}" name="salary_year_avg" dataDxfId="5"/>
    <tableColumn id="15" xr3:uid="{C77A82B5-D1F0-ED4A-8736-250143511DB5}" name="salary_hour_avg" dataDxfId="4"/>
    <tableColumn id="16" xr3:uid="{9111E381-35D7-4A4E-B62A-D384F8B0C01B}" name="company_name" dataDxfId="3"/>
    <tableColumn id="17" xr3:uid="{17882C4C-4382-C841-B913-CCD915836A9B}" name="job_skills"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12466-5B1E-C348-9805-8C89E83DFE1A}">
  <dimension ref="B4:J23"/>
  <sheetViews>
    <sheetView topLeftCell="A7" zoomScale="230" workbookViewId="0">
      <selection activeCell="C24" sqref="C24"/>
    </sheetView>
  </sheetViews>
  <sheetFormatPr baseColWidth="10" defaultRowHeight="16" x14ac:dyDescent="0.2"/>
  <sheetData>
    <row r="4" spans="2:10" x14ac:dyDescent="0.2">
      <c r="C4" t="s">
        <v>0</v>
      </c>
    </row>
    <row r="7" spans="2:10" x14ac:dyDescent="0.2">
      <c r="C7" t="s">
        <v>33</v>
      </c>
    </row>
    <row r="9" spans="2:10" x14ac:dyDescent="0.2">
      <c r="B9" s="3"/>
      <c r="C9" s="3"/>
      <c r="D9" s="3"/>
      <c r="E9" s="3"/>
      <c r="F9" s="3"/>
      <c r="G9" s="3"/>
      <c r="H9" s="3"/>
      <c r="I9" s="3"/>
      <c r="J9" s="3"/>
    </row>
    <row r="10" spans="2:10" x14ac:dyDescent="0.2">
      <c r="C10" t="s">
        <v>34</v>
      </c>
      <c r="E10" t="s">
        <v>41</v>
      </c>
    </row>
    <row r="12" spans="2:10" x14ac:dyDescent="0.2">
      <c r="C12" t="s">
        <v>35</v>
      </c>
      <c r="E12" t="s">
        <v>37</v>
      </c>
      <c r="F12" t="s">
        <v>38</v>
      </c>
      <c r="G12" t="s">
        <v>39</v>
      </c>
    </row>
    <row r="14" spans="2:10" x14ac:dyDescent="0.2">
      <c r="C14" t="s">
        <v>36</v>
      </c>
      <c r="E14" t="s">
        <v>40</v>
      </c>
    </row>
    <row r="17" spans="2:9" x14ac:dyDescent="0.2">
      <c r="B17" s="3"/>
      <c r="C17" s="3"/>
      <c r="D17" s="3"/>
      <c r="E17" s="3"/>
      <c r="F17" s="3"/>
      <c r="G17" s="3"/>
      <c r="H17" s="3"/>
      <c r="I17" s="3"/>
    </row>
    <row r="21" spans="2:9" x14ac:dyDescent="0.2">
      <c r="C21" t="s">
        <v>42</v>
      </c>
    </row>
    <row r="23" spans="2:9" x14ac:dyDescent="0.2">
      <c r="C23" t="s">
        <v>43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5E262-7F04-9D48-9713-7826E86382F1}">
  <dimension ref="A1:J51"/>
  <sheetViews>
    <sheetView zoomScale="176" workbookViewId="0">
      <selection activeCell="J1" sqref="J1"/>
    </sheetView>
  </sheetViews>
  <sheetFormatPr baseColWidth="10" defaultRowHeight="16" x14ac:dyDescent="0.2"/>
  <cols>
    <col min="1" max="1" width="17.1640625" customWidth="1"/>
    <col min="2" max="2" width="18.6640625" customWidth="1"/>
    <col min="3" max="3" width="13.83203125" customWidth="1"/>
    <col min="4" max="4" width="15.1640625" customWidth="1"/>
    <col min="5" max="5" width="12.5" style="1" customWidth="1"/>
    <col min="9" max="9" width="11.83203125" customWidth="1"/>
  </cols>
  <sheetData>
    <row r="1" spans="1:10" x14ac:dyDescent="0.2">
      <c r="A1" t="s">
        <v>1</v>
      </c>
      <c r="B1" t="s">
        <v>2</v>
      </c>
      <c r="C1" t="s">
        <v>3</v>
      </c>
      <c r="D1" t="s">
        <v>4</v>
      </c>
      <c r="E1" s="1" t="s">
        <v>5</v>
      </c>
      <c r="F1" t="s">
        <v>6</v>
      </c>
      <c r="G1" t="s">
        <v>7</v>
      </c>
      <c r="H1" t="s">
        <v>8</v>
      </c>
      <c r="I1" t="s">
        <v>9</v>
      </c>
      <c r="J1" t="s">
        <v>10</v>
      </c>
    </row>
    <row r="2" spans="1:10" x14ac:dyDescent="0.2">
      <c r="A2" t="s">
        <v>11</v>
      </c>
      <c r="B2" t="s">
        <v>12</v>
      </c>
      <c r="C2" t="s">
        <v>13</v>
      </c>
      <c r="D2" t="s">
        <v>14</v>
      </c>
      <c r="E2" s="1">
        <v>42776</v>
      </c>
      <c r="F2">
        <v>1</v>
      </c>
      <c r="G2">
        <v>10</v>
      </c>
      <c r="H2">
        <v>13.5</v>
      </c>
      <c r="I2">
        <v>10</v>
      </c>
      <c r="J2">
        <v>13.5</v>
      </c>
    </row>
    <row r="3" spans="1:10" x14ac:dyDescent="0.2">
      <c r="A3" t="s">
        <v>15</v>
      </c>
      <c r="B3" t="s">
        <v>16</v>
      </c>
      <c r="C3" t="s">
        <v>17</v>
      </c>
      <c r="D3" t="s">
        <v>18</v>
      </c>
      <c r="E3" s="1">
        <v>42751</v>
      </c>
      <c r="F3">
        <v>1</v>
      </c>
      <c r="G3">
        <v>1.5</v>
      </c>
      <c r="H3">
        <v>1.8</v>
      </c>
      <c r="I3">
        <v>1.5</v>
      </c>
      <c r="J3">
        <v>1.8</v>
      </c>
    </row>
    <row r="4" spans="1:10" x14ac:dyDescent="0.2">
      <c r="A4" t="s">
        <v>19</v>
      </c>
      <c r="B4" t="s">
        <v>20</v>
      </c>
      <c r="C4" t="s">
        <v>13</v>
      </c>
      <c r="D4" t="s">
        <v>14</v>
      </c>
      <c r="E4" s="1">
        <v>42806</v>
      </c>
      <c r="F4">
        <v>1</v>
      </c>
      <c r="G4">
        <v>10</v>
      </c>
      <c r="H4">
        <v>13.5</v>
      </c>
      <c r="I4">
        <v>10</v>
      </c>
      <c r="J4">
        <v>13.5</v>
      </c>
    </row>
    <row r="5" spans="1:10" x14ac:dyDescent="0.2">
      <c r="A5" t="s">
        <v>21</v>
      </c>
      <c r="B5" t="s">
        <v>16</v>
      </c>
      <c r="C5" t="s">
        <v>17</v>
      </c>
      <c r="D5" t="s">
        <v>14</v>
      </c>
      <c r="E5" s="1">
        <v>42795</v>
      </c>
      <c r="F5">
        <v>1</v>
      </c>
      <c r="G5">
        <v>1.5</v>
      </c>
      <c r="H5">
        <v>1.8</v>
      </c>
      <c r="I5">
        <v>1.5</v>
      </c>
      <c r="J5">
        <v>1.8</v>
      </c>
    </row>
    <row r="6" spans="1:10" x14ac:dyDescent="0.2">
      <c r="A6" t="s">
        <v>22</v>
      </c>
      <c r="B6" t="s">
        <v>16</v>
      </c>
      <c r="C6" t="s">
        <v>23</v>
      </c>
      <c r="D6" t="s">
        <v>14</v>
      </c>
      <c r="E6" s="1">
        <v>42767</v>
      </c>
      <c r="F6">
        <v>1</v>
      </c>
      <c r="G6">
        <v>1</v>
      </c>
      <c r="H6">
        <v>1.25</v>
      </c>
      <c r="I6">
        <v>1</v>
      </c>
      <c r="J6">
        <v>1.25</v>
      </c>
    </row>
    <row r="7" spans="1:10" x14ac:dyDescent="0.2">
      <c r="A7" t="s">
        <v>24</v>
      </c>
      <c r="B7" t="s">
        <v>25</v>
      </c>
      <c r="C7" t="s">
        <v>17</v>
      </c>
      <c r="D7" t="s">
        <v>14</v>
      </c>
      <c r="E7" s="1">
        <v>42799</v>
      </c>
      <c r="F7">
        <v>1</v>
      </c>
      <c r="G7">
        <v>1.5</v>
      </c>
      <c r="H7">
        <v>1.8</v>
      </c>
      <c r="I7">
        <v>1.5</v>
      </c>
      <c r="J7">
        <v>1.8</v>
      </c>
    </row>
    <row r="8" spans="1:10" x14ac:dyDescent="0.2">
      <c r="A8" t="s">
        <v>26</v>
      </c>
      <c r="B8" t="s">
        <v>27</v>
      </c>
      <c r="C8" t="s">
        <v>23</v>
      </c>
      <c r="D8" t="s">
        <v>14</v>
      </c>
      <c r="E8" s="1">
        <v>42800</v>
      </c>
      <c r="F8">
        <v>2</v>
      </c>
      <c r="G8">
        <v>1</v>
      </c>
      <c r="H8">
        <v>1.25</v>
      </c>
      <c r="I8">
        <v>2</v>
      </c>
      <c r="J8">
        <v>2.5</v>
      </c>
    </row>
    <row r="9" spans="1:10" x14ac:dyDescent="0.2">
      <c r="A9" t="s">
        <v>11</v>
      </c>
      <c r="B9" t="s">
        <v>12</v>
      </c>
      <c r="C9" t="s">
        <v>17</v>
      </c>
      <c r="D9" t="s">
        <v>14</v>
      </c>
      <c r="E9" s="1">
        <v>42792</v>
      </c>
      <c r="F9">
        <v>1</v>
      </c>
      <c r="G9">
        <v>1.5</v>
      </c>
      <c r="H9">
        <v>1.8</v>
      </c>
      <c r="I9">
        <v>1.5</v>
      </c>
      <c r="J9">
        <v>1.8</v>
      </c>
    </row>
    <row r="10" spans="1:10" x14ac:dyDescent="0.2">
      <c r="A10" t="s">
        <v>15</v>
      </c>
      <c r="B10" t="s">
        <v>16</v>
      </c>
      <c r="C10" t="s">
        <v>28</v>
      </c>
      <c r="D10" t="s">
        <v>14</v>
      </c>
      <c r="E10" s="1">
        <v>42736</v>
      </c>
      <c r="F10">
        <v>1</v>
      </c>
      <c r="G10">
        <v>2.2999999999999998</v>
      </c>
      <c r="H10">
        <v>2.88</v>
      </c>
      <c r="I10">
        <v>2.2999999999999998</v>
      </c>
      <c r="J10">
        <v>2.88</v>
      </c>
    </row>
    <row r="11" spans="1:10" x14ac:dyDescent="0.2">
      <c r="A11" t="s">
        <v>19</v>
      </c>
      <c r="B11" t="s">
        <v>20</v>
      </c>
      <c r="C11" t="s">
        <v>29</v>
      </c>
      <c r="D11" t="s">
        <v>18</v>
      </c>
      <c r="E11" s="1">
        <v>42769</v>
      </c>
      <c r="F11">
        <v>1</v>
      </c>
      <c r="G11">
        <v>3</v>
      </c>
      <c r="H11">
        <v>3.75</v>
      </c>
      <c r="I11">
        <v>3</v>
      </c>
      <c r="J11">
        <v>3.75</v>
      </c>
    </row>
    <row r="12" spans="1:10" x14ac:dyDescent="0.2">
      <c r="A12" t="s">
        <v>21</v>
      </c>
      <c r="B12" t="s">
        <v>16</v>
      </c>
      <c r="C12" t="s">
        <v>13</v>
      </c>
      <c r="D12" t="s">
        <v>14</v>
      </c>
      <c r="E12" s="1">
        <v>42802</v>
      </c>
      <c r="F12">
        <v>1</v>
      </c>
      <c r="G12">
        <v>10</v>
      </c>
      <c r="H12">
        <v>13.5</v>
      </c>
      <c r="I12">
        <v>10</v>
      </c>
      <c r="J12">
        <v>13.5</v>
      </c>
    </row>
    <row r="13" spans="1:10" x14ac:dyDescent="0.2">
      <c r="A13" t="s">
        <v>22</v>
      </c>
      <c r="B13" t="s">
        <v>16</v>
      </c>
      <c r="C13" t="s">
        <v>23</v>
      </c>
      <c r="D13" t="s">
        <v>14</v>
      </c>
      <c r="E13" s="1">
        <v>42760</v>
      </c>
      <c r="F13">
        <v>1</v>
      </c>
      <c r="G13">
        <v>1</v>
      </c>
      <c r="H13">
        <v>1.25</v>
      </c>
      <c r="I13">
        <v>1</v>
      </c>
      <c r="J13">
        <v>1.25</v>
      </c>
    </row>
    <row r="14" spans="1:10" x14ac:dyDescent="0.2">
      <c r="A14" t="s">
        <v>24</v>
      </c>
      <c r="B14" t="s">
        <v>25</v>
      </c>
      <c r="C14" t="s">
        <v>17</v>
      </c>
      <c r="D14" t="s">
        <v>14</v>
      </c>
      <c r="E14" s="1">
        <v>42763</v>
      </c>
      <c r="F14">
        <v>1</v>
      </c>
      <c r="G14">
        <v>1.5</v>
      </c>
      <c r="H14">
        <v>1.8</v>
      </c>
      <c r="I14">
        <v>1.5</v>
      </c>
      <c r="J14">
        <v>1.8</v>
      </c>
    </row>
    <row r="15" spans="1:10" x14ac:dyDescent="0.2">
      <c r="A15" t="s">
        <v>26</v>
      </c>
      <c r="B15" t="s">
        <v>27</v>
      </c>
      <c r="C15" t="s">
        <v>30</v>
      </c>
      <c r="D15" t="s">
        <v>14</v>
      </c>
      <c r="E15" s="1">
        <v>42799</v>
      </c>
      <c r="F15">
        <v>1</v>
      </c>
      <c r="G15">
        <v>75</v>
      </c>
      <c r="H15">
        <v>112.5</v>
      </c>
      <c r="I15">
        <v>75</v>
      </c>
      <c r="J15">
        <v>112.5</v>
      </c>
    </row>
    <row r="16" spans="1:10" x14ac:dyDescent="0.2">
      <c r="A16" t="s">
        <v>15</v>
      </c>
      <c r="B16" t="s">
        <v>16</v>
      </c>
      <c r="C16" t="s">
        <v>17</v>
      </c>
      <c r="D16" t="s">
        <v>14</v>
      </c>
      <c r="E16" s="1">
        <v>42814</v>
      </c>
      <c r="F16">
        <v>2</v>
      </c>
      <c r="G16">
        <v>1.5</v>
      </c>
      <c r="H16">
        <v>1.8</v>
      </c>
      <c r="I16">
        <v>3</v>
      </c>
      <c r="J16">
        <v>3.6</v>
      </c>
    </row>
    <row r="17" spans="1:10" x14ac:dyDescent="0.2">
      <c r="A17" t="s">
        <v>19</v>
      </c>
      <c r="B17" t="s">
        <v>20</v>
      </c>
      <c r="C17" t="s">
        <v>17</v>
      </c>
      <c r="D17" t="s">
        <v>14</v>
      </c>
      <c r="E17" s="1">
        <v>42777</v>
      </c>
      <c r="F17">
        <v>1</v>
      </c>
      <c r="G17">
        <v>1.5</v>
      </c>
      <c r="H17">
        <v>1.8</v>
      </c>
      <c r="I17">
        <v>1.5</v>
      </c>
      <c r="J17">
        <v>1.8</v>
      </c>
    </row>
    <row r="18" spans="1:10" x14ac:dyDescent="0.2">
      <c r="A18" t="s">
        <v>21</v>
      </c>
      <c r="B18" t="s">
        <v>16</v>
      </c>
      <c r="C18" t="s">
        <v>17</v>
      </c>
      <c r="D18" t="s">
        <v>18</v>
      </c>
      <c r="E18" s="1">
        <v>42797</v>
      </c>
      <c r="F18">
        <v>1</v>
      </c>
      <c r="G18">
        <v>1.5</v>
      </c>
      <c r="H18">
        <v>1.8</v>
      </c>
      <c r="I18">
        <v>1.5</v>
      </c>
      <c r="J18">
        <v>1.8</v>
      </c>
    </row>
    <row r="19" spans="1:10" x14ac:dyDescent="0.2">
      <c r="A19" t="s">
        <v>22</v>
      </c>
      <c r="B19" t="s">
        <v>16</v>
      </c>
      <c r="C19" t="s">
        <v>31</v>
      </c>
      <c r="D19" t="s">
        <v>14</v>
      </c>
      <c r="E19" s="1">
        <v>42777</v>
      </c>
      <c r="F19">
        <v>1</v>
      </c>
      <c r="G19">
        <v>30</v>
      </c>
      <c r="H19">
        <v>45</v>
      </c>
      <c r="I19">
        <v>30</v>
      </c>
      <c r="J19">
        <v>45</v>
      </c>
    </row>
    <row r="20" spans="1:10" x14ac:dyDescent="0.2">
      <c r="A20" t="s">
        <v>24</v>
      </c>
      <c r="B20" t="s">
        <v>25</v>
      </c>
      <c r="C20" t="s">
        <v>17</v>
      </c>
      <c r="D20" t="s">
        <v>18</v>
      </c>
      <c r="E20" s="1">
        <v>42768</v>
      </c>
      <c r="F20">
        <v>3</v>
      </c>
      <c r="G20">
        <v>1.5</v>
      </c>
      <c r="H20">
        <v>1.8</v>
      </c>
      <c r="I20">
        <v>4.5</v>
      </c>
      <c r="J20">
        <v>5.4</v>
      </c>
    </row>
    <row r="21" spans="1:10" x14ac:dyDescent="0.2">
      <c r="A21" t="s">
        <v>26</v>
      </c>
      <c r="B21" t="s">
        <v>27</v>
      </c>
      <c r="C21" t="s">
        <v>29</v>
      </c>
      <c r="D21" t="s">
        <v>18</v>
      </c>
      <c r="E21" s="1">
        <v>42754</v>
      </c>
      <c r="F21">
        <v>2</v>
      </c>
      <c r="G21">
        <v>3</v>
      </c>
      <c r="H21">
        <v>3.75</v>
      </c>
      <c r="I21">
        <v>6</v>
      </c>
      <c r="J21">
        <v>7.5</v>
      </c>
    </row>
    <row r="22" spans="1:10" x14ac:dyDescent="0.2">
      <c r="A22" t="s">
        <v>11</v>
      </c>
      <c r="B22" t="s">
        <v>12</v>
      </c>
      <c r="C22" t="s">
        <v>17</v>
      </c>
      <c r="D22" t="s">
        <v>18</v>
      </c>
      <c r="E22" s="1">
        <v>42781</v>
      </c>
      <c r="F22">
        <v>2</v>
      </c>
      <c r="G22">
        <v>1.5</v>
      </c>
      <c r="H22">
        <v>1.8</v>
      </c>
      <c r="I22">
        <v>3</v>
      </c>
      <c r="J22">
        <v>3.6</v>
      </c>
    </row>
    <row r="23" spans="1:10" x14ac:dyDescent="0.2">
      <c r="A23" t="s">
        <v>15</v>
      </c>
      <c r="B23" t="s">
        <v>16</v>
      </c>
      <c r="C23" t="s">
        <v>13</v>
      </c>
      <c r="D23" t="s">
        <v>14</v>
      </c>
      <c r="E23" s="1">
        <v>42770</v>
      </c>
      <c r="F23">
        <v>1</v>
      </c>
      <c r="G23">
        <v>10</v>
      </c>
      <c r="H23">
        <v>13.5</v>
      </c>
      <c r="I23">
        <v>10</v>
      </c>
      <c r="J23">
        <v>13.5</v>
      </c>
    </row>
    <row r="24" spans="1:10" x14ac:dyDescent="0.2">
      <c r="A24" t="s">
        <v>26</v>
      </c>
      <c r="B24" t="s">
        <v>27</v>
      </c>
      <c r="C24" t="s">
        <v>30</v>
      </c>
      <c r="D24" t="s">
        <v>14</v>
      </c>
      <c r="E24" s="1">
        <v>42760</v>
      </c>
      <c r="F24">
        <v>1</v>
      </c>
      <c r="G24">
        <v>75</v>
      </c>
      <c r="H24">
        <v>112.5</v>
      </c>
      <c r="I24">
        <v>75</v>
      </c>
      <c r="J24">
        <v>112.5</v>
      </c>
    </row>
    <row r="25" spans="1:10" x14ac:dyDescent="0.2">
      <c r="A25" t="s">
        <v>15</v>
      </c>
      <c r="B25" t="s">
        <v>16</v>
      </c>
      <c r="C25" t="s">
        <v>30</v>
      </c>
      <c r="D25" t="s">
        <v>14</v>
      </c>
      <c r="E25" s="1">
        <v>42759</v>
      </c>
      <c r="F25">
        <v>1</v>
      </c>
      <c r="G25">
        <v>75</v>
      </c>
      <c r="H25">
        <v>112.5</v>
      </c>
      <c r="I25">
        <v>75</v>
      </c>
      <c r="J25">
        <v>112.5</v>
      </c>
    </row>
    <row r="26" spans="1:10" x14ac:dyDescent="0.2">
      <c r="A26" t="s">
        <v>19</v>
      </c>
      <c r="B26" t="s">
        <v>20</v>
      </c>
      <c r="C26" t="s">
        <v>17</v>
      </c>
      <c r="D26" t="s">
        <v>14</v>
      </c>
      <c r="E26" s="1">
        <v>42757</v>
      </c>
      <c r="F26">
        <v>1</v>
      </c>
      <c r="G26">
        <v>1.5</v>
      </c>
      <c r="H26">
        <v>1.8</v>
      </c>
      <c r="I26">
        <v>1.5</v>
      </c>
      <c r="J26">
        <v>1.8</v>
      </c>
    </row>
    <row r="27" spans="1:10" x14ac:dyDescent="0.2">
      <c r="A27" t="s">
        <v>21</v>
      </c>
      <c r="B27" t="s">
        <v>16</v>
      </c>
      <c r="C27" t="s">
        <v>23</v>
      </c>
      <c r="D27" t="s">
        <v>18</v>
      </c>
      <c r="E27" s="1">
        <v>42764</v>
      </c>
      <c r="F27">
        <v>1</v>
      </c>
      <c r="G27">
        <v>1</v>
      </c>
      <c r="H27">
        <v>1.25</v>
      </c>
      <c r="I27">
        <v>1</v>
      </c>
      <c r="J27">
        <v>1.25</v>
      </c>
    </row>
    <row r="28" spans="1:10" x14ac:dyDescent="0.2">
      <c r="A28" t="s">
        <v>22</v>
      </c>
      <c r="B28" t="s">
        <v>16</v>
      </c>
      <c r="C28" t="s">
        <v>31</v>
      </c>
      <c r="D28" t="s">
        <v>14</v>
      </c>
      <c r="E28" s="1">
        <v>42808</v>
      </c>
      <c r="F28">
        <v>1</v>
      </c>
      <c r="G28">
        <v>30</v>
      </c>
      <c r="H28">
        <v>45</v>
      </c>
      <c r="I28">
        <v>30</v>
      </c>
      <c r="J28">
        <v>45</v>
      </c>
    </row>
    <row r="29" spans="1:10" x14ac:dyDescent="0.2">
      <c r="A29" t="s">
        <v>24</v>
      </c>
      <c r="B29" t="s">
        <v>25</v>
      </c>
      <c r="C29" t="s">
        <v>13</v>
      </c>
      <c r="D29" t="s">
        <v>14</v>
      </c>
      <c r="E29" s="1">
        <v>42802</v>
      </c>
      <c r="F29">
        <v>1</v>
      </c>
      <c r="G29">
        <v>10</v>
      </c>
      <c r="H29">
        <v>13.5</v>
      </c>
      <c r="I29">
        <v>10</v>
      </c>
      <c r="J29">
        <v>13.5</v>
      </c>
    </row>
    <row r="30" spans="1:10" x14ac:dyDescent="0.2">
      <c r="A30" t="s">
        <v>26</v>
      </c>
      <c r="B30" t="s">
        <v>27</v>
      </c>
      <c r="C30" t="s">
        <v>28</v>
      </c>
      <c r="D30" t="s">
        <v>14</v>
      </c>
      <c r="E30" s="1">
        <v>42799</v>
      </c>
      <c r="F30">
        <v>2</v>
      </c>
      <c r="G30">
        <v>2.2999999999999998</v>
      </c>
      <c r="H30">
        <v>2.88</v>
      </c>
      <c r="I30">
        <v>4.5999999999999996</v>
      </c>
      <c r="J30">
        <v>5.76</v>
      </c>
    </row>
    <row r="31" spans="1:10" x14ac:dyDescent="0.2">
      <c r="A31" t="s">
        <v>11</v>
      </c>
      <c r="B31" t="s">
        <v>12</v>
      </c>
      <c r="C31" t="s">
        <v>13</v>
      </c>
      <c r="D31" t="s">
        <v>18</v>
      </c>
      <c r="E31" s="1">
        <v>42738</v>
      </c>
      <c r="F31">
        <v>2</v>
      </c>
      <c r="G31">
        <v>10</v>
      </c>
      <c r="H31">
        <v>13.5</v>
      </c>
      <c r="I31">
        <v>20</v>
      </c>
      <c r="J31">
        <v>27</v>
      </c>
    </row>
    <row r="32" spans="1:10" x14ac:dyDescent="0.2">
      <c r="A32" t="s">
        <v>15</v>
      </c>
      <c r="B32" t="s">
        <v>16</v>
      </c>
      <c r="C32" t="s">
        <v>30</v>
      </c>
      <c r="D32" t="s">
        <v>18</v>
      </c>
      <c r="E32" s="1">
        <v>42808</v>
      </c>
      <c r="F32">
        <v>2</v>
      </c>
      <c r="G32">
        <v>75</v>
      </c>
      <c r="H32">
        <v>112.5</v>
      </c>
      <c r="I32">
        <v>150</v>
      </c>
      <c r="J32">
        <v>225</v>
      </c>
    </row>
    <row r="33" spans="1:10" x14ac:dyDescent="0.2">
      <c r="A33" t="s">
        <v>19</v>
      </c>
      <c r="B33" t="s">
        <v>20</v>
      </c>
      <c r="C33" t="s">
        <v>23</v>
      </c>
      <c r="D33" t="s">
        <v>18</v>
      </c>
      <c r="E33" s="1">
        <v>42767</v>
      </c>
      <c r="F33">
        <v>1</v>
      </c>
      <c r="G33">
        <v>1</v>
      </c>
      <c r="H33">
        <v>1.25</v>
      </c>
      <c r="I33">
        <v>1</v>
      </c>
      <c r="J33">
        <v>1.25</v>
      </c>
    </row>
    <row r="34" spans="1:10" x14ac:dyDescent="0.2">
      <c r="A34" t="s">
        <v>21</v>
      </c>
      <c r="B34" t="s">
        <v>16</v>
      </c>
      <c r="C34" t="s">
        <v>28</v>
      </c>
      <c r="D34" t="s">
        <v>14</v>
      </c>
      <c r="E34" s="1">
        <v>42772</v>
      </c>
      <c r="F34">
        <v>3</v>
      </c>
      <c r="G34">
        <v>2.2999999999999998</v>
      </c>
      <c r="H34">
        <v>2.88</v>
      </c>
      <c r="I34">
        <v>6.9</v>
      </c>
      <c r="J34">
        <v>8.64</v>
      </c>
    </row>
    <row r="35" spans="1:10" x14ac:dyDescent="0.2">
      <c r="A35" t="s">
        <v>22</v>
      </c>
      <c r="B35" t="s">
        <v>16</v>
      </c>
      <c r="C35" t="s">
        <v>28</v>
      </c>
      <c r="D35" t="s">
        <v>18</v>
      </c>
      <c r="E35" s="1">
        <v>42799</v>
      </c>
      <c r="F35">
        <v>3</v>
      </c>
      <c r="G35">
        <v>2.2999999999999998</v>
      </c>
      <c r="H35">
        <v>2.88</v>
      </c>
      <c r="I35">
        <v>6.9</v>
      </c>
      <c r="J35">
        <v>8.64</v>
      </c>
    </row>
    <row r="36" spans="1:10" x14ac:dyDescent="0.2">
      <c r="A36" t="s">
        <v>24</v>
      </c>
      <c r="B36" t="s">
        <v>25</v>
      </c>
      <c r="C36" t="s">
        <v>23</v>
      </c>
      <c r="D36" t="s">
        <v>14</v>
      </c>
      <c r="E36" s="1">
        <v>42810</v>
      </c>
      <c r="F36">
        <v>1</v>
      </c>
      <c r="G36">
        <v>1</v>
      </c>
      <c r="H36">
        <v>1.25</v>
      </c>
      <c r="I36">
        <v>1</v>
      </c>
      <c r="J36">
        <v>1.25</v>
      </c>
    </row>
    <row r="37" spans="1:10" x14ac:dyDescent="0.2">
      <c r="A37" t="s">
        <v>26</v>
      </c>
      <c r="B37" t="s">
        <v>27</v>
      </c>
      <c r="C37" t="s">
        <v>31</v>
      </c>
      <c r="D37" t="s">
        <v>18</v>
      </c>
      <c r="E37" s="1">
        <v>42793</v>
      </c>
      <c r="F37">
        <v>1</v>
      </c>
      <c r="G37">
        <v>30</v>
      </c>
      <c r="H37">
        <v>45</v>
      </c>
      <c r="I37">
        <v>30</v>
      </c>
      <c r="J37">
        <v>45</v>
      </c>
    </row>
    <row r="38" spans="1:10" x14ac:dyDescent="0.2">
      <c r="A38" t="s">
        <v>11</v>
      </c>
      <c r="B38" t="s">
        <v>12</v>
      </c>
      <c r="C38" t="s">
        <v>17</v>
      </c>
      <c r="D38" t="s">
        <v>18</v>
      </c>
      <c r="E38" s="1">
        <v>42750</v>
      </c>
      <c r="F38">
        <v>1</v>
      </c>
      <c r="G38">
        <v>1.5</v>
      </c>
      <c r="H38">
        <v>1.8</v>
      </c>
      <c r="I38">
        <v>1.5</v>
      </c>
      <c r="J38">
        <v>1.8</v>
      </c>
    </row>
    <row r="39" spans="1:10" x14ac:dyDescent="0.2">
      <c r="A39" t="s">
        <v>15</v>
      </c>
      <c r="B39" t="s">
        <v>16</v>
      </c>
      <c r="C39" t="s">
        <v>28</v>
      </c>
      <c r="D39" t="s">
        <v>14</v>
      </c>
      <c r="E39" s="1">
        <v>42752</v>
      </c>
      <c r="F39">
        <v>1</v>
      </c>
      <c r="G39">
        <v>2.2999999999999998</v>
      </c>
      <c r="H39">
        <v>2.88</v>
      </c>
      <c r="I39">
        <v>2.2999999999999998</v>
      </c>
      <c r="J39">
        <v>2.88</v>
      </c>
    </row>
    <row r="40" spans="1:10" x14ac:dyDescent="0.2">
      <c r="A40" t="s">
        <v>19</v>
      </c>
      <c r="B40" t="s">
        <v>20</v>
      </c>
      <c r="C40" t="s">
        <v>17</v>
      </c>
      <c r="D40" t="s">
        <v>14</v>
      </c>
      <c r="E40" s="1">
        <v>42782</v>
      </c>
      <c r="F40">
        <v>1</v>
      </c>
      <c r="G40">
        <v>1.5</v>
      </c>
      <c r="H40">
        <v>1.8</v>
      </c>
      <c r="I40">
        <v>1.5</v>
      </c>
      <c r="J40">
        <v>1.8</v>
      </c>
    </row>
    <row r="41" spans="1:10" x14ac:dyDescent="0.2">
      <c r="A41" t="s">
        <v>21</v>
      </c>
      <c r="B41" t="s">
        <v>16</v>
      </c>
      <c r="C41" t="s">
        <v>17</v>
      </c>
      <c r="D41" t="s">
        <v>14</v>
      </c>
      <c r="E41" s="1">
        <v>42822</v>
      </c>
      <c r="F41">
        <v>1</v>
      </c>
      <c r="G41">
        <v>1.5</v>
      </c>
      <c r="H41">
        <v>1.8</v>
      </c>
      <c r="I41">
        <v>1.5</v>
      </c>
      <c r="J41">
        <v>1.8</v>
      </c>
    </row>
    <row r="42" spans="1:10" x14ac:dyDescent="0.2">
      <c r="A42" t="s">
        <v>22</v>
      </c>
      <c r="B42" t="s">
        <v>16</v>
      </c>
      <c r="C42" t="s">
        <v>13</v>
      </c>
      <c r="D42" t="s">
        <v>14</v>
      </c>
      <c r="E42" s="1">
        <v>42806</v>
      </c>
      <c r="F42">
        <v>2</v>
      </c>
      <c r="G42">
        <v>10</v>
      </c>
      <c r="H42">
        <v>13.5</v>
      </c>
      <c r="I42">
        <v>20</v>
      </c>
      <c r="J42">
        <v>27</v>
      </c>
    </row>
    <row r="43" spans="1:10" x14ac:dyDescent="0.2">
      <c r="A43" t="s">
        <v>24</v>
      </c>
      <c r="B43" t="s">
        <v>25</v>
      </c>
      <c r="C43" t="s">
        <v>28</v>
      </c>
      <c r="D43" t="s">
        <v>14</v>
      </c>
      <c r="E43" s="1">
        <v>42766</v>
      </c>
      <c r="F43">
        <v>2</v>
      </c>
      <c r="G43">
        <v>2.2999999999999998</v>
      </c>
      <c r="H43">
        <v>2.88</v>
      </c>
      <c r="I43">
        <v>4.5999999999999996</v>
      </c>
      <c r="J43">
        <v>5.76</v>
      </c>
    </row>
    <row r="44" spans="1:10" x14ac:dyDescent="0.2">
      <c r="A44" t="s">
        <v>26</v>
      </c>
      <c r="B44" t="s">
        <v>27</v>
      </c>
      <c r="C44" t="s">
        <v>32</v>
      </c>
      <c r="D44" t="s">
        <v>14</v>
      </c>
      <c r="E44" s="1">
        <v>42754</v>
      </c>
      <c r="F44">
        <v>1</v>
      </c>
      <c r="G44">
        <v>0.2</v>
      </c>
      <c r="H44">
        <v>0.26</v>
      </c>
      <c r="I44">
        <v>0.2</v>
      </c>
      <c r="J44">
        <v>0.26</v>
      </c>
    </row>
    <row r="45" spans="1:10" x14ac:dyDescent="0.2">
      <c r="A45" t="s">
        <v>15</v>
      </c>
      <c r="B45" t="s">
        <v>16</v>
      </c>
      <c r="C45" t="s">
        <v>17</v>
      </c>
      <c r="D45" t="s">
        <v>14</v>
      </c>
      <c r="E45" s="1">
        <v>42817</v>
      </c>
      <c r="F45">
        <v>3</v>
      </c>
      <c r="G45">
        <v>1.5</v>
      </c>
      <c r="H45">
        <v>1.8</v>
      </c>
      <c r="I45">
        <v>4.5</v>
      </c>
      <c r="J45">
        <v>5.4</v>
      </c>
    </row>
    <row r="46" spans="1:10" x14ac:dyDescent="0.2">
      <c r="A46" t="s">
        <v>19</v>
      </c>
      <c r="B46" t="s">
        <v>20</v>
      </c>
      <c r="C46" t="s">
        <v>31</v>
      </c>
      <c r="D46" t="s">
        <v>14</v>
      </c>
      <c r="E46" s="1">
        <v>42795</v>
      </c>
      <c r="F46">
        <v>3</v>
      </c>
      <c r="G46">
        <v>30</v>
      </c>
      <c r="H46">
        <v>45</v>
      </c>
      <c r="I46">
        <v>90</v>
      </c>
      <c r="J46">
        <v>135</v>
      </c>
    </row>
    <row r="47" spans="1:10" x14ac:dyDescent="0.2">
      <c r="A47" t="s">
        <v>21</v>
      </c>
      <c r="B47" t="s">
        <v>16</v>
      </c>
      <c r="C47" t="s">
        <v>23</v>
      </c>
      <c r="D47" t="s">
        <v>14</v>
      </c>
      <c r="E47" s="1">
        <v>42745</v>
      </c>
      <c r="F47">
        <v>1</v>
      </c>
      <c r="G47">
        <v>1</v>
      </c>
      <c r="H47">
        <v>1.25</v>
      </c>
      <c r="I47">
        <v>1</v>
      </c>
      <c r="J47">
        <v>1.25</v>
      </c>
    </row>
    <row r="48" spans="1:10" x14ac:dyDescent="0.2">
      <c r="A48" t="s">
        <v>19</v>
      </c>
      <c r="B48" t="s">
        <v>20</v>
      </c>
      <c r="C48" t="s">
        <v>17</v>
      </c>
      <c r="D48" t="s">
        <v>14</v>
      </c>
      <c r="E48" s="1">
        <v>42753</v>
      </c>
      <c r="F48">
        <v>2</v>
      </c>
      <c r="G48">
        <v>1.5</v>
      </c>
      <c r="H48">
        <v>1.8</v>
      </c>
      <c r="I48">
        <v>3</v>
      </c>
      <c r="J48">
        <v>3.6</v>
      </c>
    </row>
    <row r="49" spans="1:10" x14ac:dyDescent="0.2">
      <c r="A49" t="s">
        <v>11</v>
      </c>
      <c r="B49" t="s">
        <v>12</v>
      </c>
      <c r="C49" t="s">
        <v>23</v>
      </c>
      <c r="D49" t="s">
        <v>14</v>
      </c>
      <c r="E49" s="1">
        <v>42816</v>
      </c>
      <c r="F49">
        <v>4</v>
      </c>
      <c r="G49">
        <v>1</v>
      </c>
      <c r="H49">
        <v>1.25</v>
      </c>
      <c r="I49">
        <v>4</v>
      </c>
      <c r="J49">
        <v>5</v>
      </c>
    </row>
    <row r="50" spans="1:10" x14ac:dyDescent="0.2">
      <c r="A50" t="s">
        <v>24</v>
      </c>
      <c r="B50" t="s">
        <v>25</v>
      </c>
      <c r="C50" t="s">
        <v>29</v>
      </c>
      <c r="D50" t="s">
        <v>14</v>
      </c>
      <c r="E50" s="1">
        <v>42781</v>
      </c>
      <c r="F50">
        <v>1</v>
      </c>
      <c r="G50">
        <v>3</v>
      </c>
      <c r="H50">
        <v>3.75</v>
      </c>
      <c r="I50">
        <v>3</v>
      </c>
      <c r="J50">
        <v>3.75</v>
      </c>
    </row>
    <row r="51" spans="1:10" x14ac:dyDescent="0.2">
      <c r="A51" t="s">
        <v>15</v>
      </c>
      <c r="B51" t="s">
        <v>16</v>
      </c>
      <c r="C51" t="s">
        <v>17</v>
      </c>
      <c r="D51" t="s">
        <v>14</v>
      </c>
      <c r="E51" s="1">
        <v>42775</v>
      </c>
      <c r="F51">
        <v>2</v>
      </c>
      <c r="G51">
        <v>1.5</v>
      </c>
      <c r="H51">
        <v>1.8</v>
      </c>
      <c r="I51">
        <v>3</v>
      </c>
      <c r="J51">
        <v>3.6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312D36-7FD0-3B45-B59C-35B7EF78D1A5}">
  <dimension ref="B5:C8"/>
  <sheetViews>
    <sheetView zoomScale="168" workbookViewId="0">
      <selection activeCell="C7" sqref="C7"/>
    </sheetView>
  </sheetViews>
  <sheetFormatPr baseColWidth="10" defaultRowHeight="16" x14ac:dyDescent="0.2"/>
  <cols>
    <col min="2" max="2" width="13" bestFit="1" customWidth="1"/>
    <col min="3" max="3" width="20.5" bestFit="1" customWidth="1"/>
    <col min="4" max="5" width="21.1640625" bestFit="1" customWidth="1"/>
    <col min="6" max="6" width="7" bestFit="1" customWidth="1"/>
    <col min="7" max="7" width="7.33203125" bestFit="1" customWidth="1"/>
    <col min="8" max="8" width="6.83203125" bestFit="1" customWidth="1"/>
    <col min="9" max="9" width="8.6640625" bestFit="1" customWidth="1"/>
    <col min="10" max="10" width="7.1640625" bestFit="1" customWidth="1"/>
    <col min="11" max="11" width="5.1640625" bestFit="1" customWidth="1"/>
    <col min="12" max="12" width="7" bestFit="1" customWidth="1"/>
    <col min="13" max="13" width="5.6640625" bestFit="1" customWidth="1"/>
    <col min="14" max="14" width="6.1640625" bestFit="1" customWidth="1"/>
    <col min="15" max="15" width="12.1640625" bestFit="1" customWidth="1"/>
    <col min="16" max="16" width="10.5" bestFit="1" customWidth="1"/>
  </cols>
  <sheetData>
    <row r="5" spans="2:3" x14ac:dyDescent="0.2">
      <c r="B5" s="4" t="s">
        <v>44</v>
      </c>
      <c r="C5" t="s">
        <v>692</v>
      </c>
    </row>
    <row r="6" spans="2:3" x14ac:dyDescent="0.2">
      <c r="B6" s="5" t="s">
        <v>16</v>
      </c>
      <c r="C6" s="6">
        <v>17</v>
      </c>
    </row>
    <row r="7" spans="2:3" x14ac:dyDescent="0.2">
      <c r="B7" s="5" t="s">
        <v>68</v>
      </c>
      <c r="C7" s="6">
        <v>2</v>
      </c>
    </row>
    <row r="8" spans="2:3" x14ac:dyDescent="0.2">
      <c r="B8" s="5" t="s">
        <v>45</v>
      </c>
      <c r="C8" s="6">
        <v>19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02B64-F0FD-584D-A86F-A13BAE1C9A59}">
  <dimension ref="A1:Q201"/>
  <sheetViews>
    <sheetView topLeftCell="J1" zoomScale="227" workbookViewId="0">
      <selection activeCell="D2" sqref="D2"/>
    </sheetView>
  </sheetViews>
  <sheetFormatPr baseColWidth="10" defaultRowHeight="16" x14ac:dyDescent="0.2"/>
  <cols>
    <col min="1" max="1" width="15" customWidth="1"/>
    <col min="3" max="3" width="13.1640625" customWidth="1"/>
    <col min="5" max="5" width="18.1640625" customWidth="1"/>
    <col min="6" max="6" width="20.5" customWidth="1"/>
    <col min="7" max="7" width="15.6640625" customWidth="1"/>
    <col min="8" max="8" width="12.33203125" customWidth="1"/>
    <col min="9" max="9" width="16.5" customWidth="1"/>
    <col min="10" max="10" width="22.6640625" customWidth="1"/>
    <col min="11" max="11" width="20.1640625" customWidth="1"/>
    <col min="12" max="12" width="12.83203125" customWidth="1"/>
    <col min="13" max="13" width="11.83203125" customWidth="1"/>
    <col min="14" max="14" width="15.33203125" customWidth="1"/>
    <col min="15" max="16" width="15.6640625" customWidth="1"/>
  </cols>
  <sheetData>
    <row r="1" spans="1:17" x14ac:dyDescent="0.2">
      <c r="A1" s="8" t="s">
        <v>46</v>
      </c>
      <c r="B1" s="8" t="s">
        <v>47</v>
      </c>
      <c r="C1" s="8" t="s">
        <v>48</v>
      </c>
      <c r="D1" s="8" t="s">
        <v>49</v>
      </c>
      <c r="E1" s="8" t="s">
        <v>50</v>
      </c>
      <c r="F1" s="8" t="s">
        <v>51</v>
      </c>
      <c r="G1" s="8" t="s">
        <v>52</v>
      </c>
      <c r="H1" s="8" t="s">
        <v>53</v>
      </c>
      <c r="I1" s="8" t="s">
        <v>54</v>
      </c>
      <c r="J1" s="8" t="s">
        <v>55</v>
      </c>
      <c r="K1" s="8" t="s">
        <v>56</v>
      </c>
      <c r="L1" s="8" t="s">
        <v>57</v>
      </c>
      <c r="M1" s="8" t="s">
        <v>58</v>
      </c>
      <c r="N1" s="8" t="s">
        <v>59</v>
      </c>
      <c r="O1" s="8" t="s">
        <v>60</v>
      </c>
      <c r="P1" s="8" t="s">
        <v>61</v>
      </c>
      <c r="Q1" s="8" t="s">
        <v>62</v>
      </c>
    </row>
    <row r="2" spans="1:17" x14ac:dyDescent="0.2">
      <c r="A2" s="2" t="s">
        <v>63</v>
      </c>
      <c r="B2" s="2" t="s">
        <v>64</v>
      </c>
      <c r="C2" s="2" t="s">
        <v>65</v>
      </c>
      <c r="D2" s="2" t="s">
        <v>66</v>
      </c>
      <c r="E2" s="2" t="s">
        <v>67</v>
      </c>
      <c r="F2" s="2" t="b">
        <v>0</v>
      </c>
      <c r="G2" s="2" t="s">
        <v>68</v>
      </c>
      <c r="H2" s="2" t="str">
        <f>TEXT(I2,"mmmm")</f>
        <v>April</v>
      </c>
      <c r="I2" s="7">
        <v>45040.410590277781</v>
      </c>
      <c r="J2" s="2" t="b">
        <v>0</v>
      </c>
      <c r="K2" s="2" t="b">
        <v>1</v>
      </c>
      <c r="L2" s="2" t="s">
        <v>68</v>
      </c>
      <c r="M2" s="2" t="s">
        <v>69</v>
      </c>
      <c r="N2" s="2">
        <v>128050</v>
      </c>
      <c r="O2" s="2"/>
      <c r="P2" s="2" t="s">
        <v>70</v>
      </c>
      <c r="Q2" s="2" t="s">
        <v>71</v>
      </c>
    </row>
    <row r="3" spans="1:17" x14ac:dyDescent="0.2">
      <c r="A3" s="2" t="s">
        <v>72</v>
      </c>
      <c r="B3" s="2" t="s">
        <v>73</v>
      </c>
      <c r="C3" s="2" t="s">
        <v>74</v>
      </c>
      <c r="D3" s="2" t="s">
        <v>75</v>
      </c>
      <c r="E3" s="2" t="s">
        <v>67</v>
      </c>
      <c r="F3" s="2" t="b">
        <v>0</v>
      </c>
      <c r="G3" s="2" t="s">
        <v>76</v>
      </c>
      <c r="H3" s="2" t="str">
        <f t="shared" ref="H3:H66" si="0">TEXT(I3,"mmmm")</f>
        <v>March</v>
      </c>
      <c r="I3" s="7">
        <v>44998.535682870373</v>
      </c>
      <c r="J3" s="2" t="b">
        <v>1</v>
      </c>
      <c r="K3" s="2" t="b">
        <v>1</v>
      </c>
      <c r="L3" s="2" t="s">
        <v>16</v>
      </c>
      <c r="M3" s="2" t="s">
        <v>69</v>
      </c>
      <c r="N3" s="2">
        <v>140000</v>
      </c>
      <c r="O3" s="2"/>
      <c r="P3" s="2" t="s">
        <v>77</v>
      </c>
      <c r="Q3" s="2" t="s">
        <v>78</v>
      </c>
    </row>
    <row r="4" spans="1:17" x14ac:dyDescent="0.2">
      <c r="A4" s="2" t="s">
        <v>79</v>
      </c>
      <c r="B4" s="2" t="s">
        <v>80</v>
      </c>
      <c r="C4" s="2" t="s">
        <v>81</v>
      </c>
      <c r="D4" s="2" t="s">
        <v>66</v>
      </c>
      <c r="E4" s="2" t="s">
        <v>67</v>
      </c>
      <c r="F4" s="2" t="b">
        <v>0</v>
      </c>
      <c r="G4" s="2" t="s">
        <v>82</v>
      </c>
      <c r="H4" s="2" t="str">
        <f t="shared" si="0"/>
        <v>July</v>
      </c>
      <c r="I4" s="7">
        <v>45112.294189814813</v>
      </c>
      <c r="J4" s="2" t="b">
        <v>1</v>
      </c>
      <c r="K4" s="2" t="b">
        <v>0</v>
      </c>
      <c r="L4" s="2" t="s">
        <v>16</v>
      </c>
      <c r="M4" s="2" t="s">
        <v>69</v>
      </c>
      <c r="N4" s="2">
        <v>156000</v>
      </c>
      <c r="O4" s="2"/>
      <c r="P4" s="2" t="s">
        <v>83</v>
      </c>
      <c r="Q4" s="2"/>
    </row>
    <row r="5" spans="1:17" x14ac:dyDescent="0.2">
      <c r="A5" s="2" t="s">
        <v>84</v>
      </c>
      <c r="B5" s="2" t="s">
        <v>85</v>
      </c>
      <c r="C5" s="2" t="s">
        <v>86</v>
      </c>
      <c r="D5" s="2" t="s">
        <v>87</v>
      </c>
      <c r="E5" s="2" t="s">
        <v>67</v>
      </c>
      <c r="F5" s="2" t="b">
        <v>0</v>
      </c>
      <c r="G5" s="2" t="s">
        <v>88</v>
      </c>
      <c r="H5" s="2" t="str">
        <f t="shared" si="0"/>
        <v>April</v>
      </c>
      <c r="I5" s="7">
        <v>45029.670613425929</v>
      </c>
      <c r="J5" s="2" t="b">
        <v>0</v>
      </c>
      <c r="K5" s="2" t="b">
        <v>1</v>
      </c>
      <c r="L5" s="2" t="s">
        <v>16</v>
      </c>
      <c r="M5" s="2" t="s">
        <v>69</v>
      </c>
      <c r="N5" s="2">
        <v>140000</v>
      </c>
      <c r="O5" s="2"/>
      <c r="P5" s="2" t="s">
        <v>89</v>
      </c>
      <c r="Q5" s="2" t="s">
        <v>90</v>
      </c>
    </row>
    <row r="6" spans="1:17" x14ac:dyDescent="0.2">
      <c r="A6" s="2" t="s">
        <v>91</v>
      </c>
      <c r="B6" s="2" t="s">
        <v>92</v>
      </c>
      <c r="C6" s="2" t="s">
        <v>93</v>
      </c>
      <c r="D6" s="2" t="s">
        <v>94</v>
      </c>
      <c r="E6" s="2" t="s">
        <v>95</v>
      </c>
      <c r="F6" s="2" t="b">
        <v>0</v>
      </c>
      <c r="G6" s="2" t="s">
        <v>96</v>
      </c>
      <c r="H6" s="2" t="str">
        <f t="shared" si="0"/>
        <v>October</v>
      </c>
      <c r="I6" s="7">
        <v>45214.251979166664</v>
      </c>
      <c r="J6" s="2" t="b">
        <v>0</v>
      </c>
      <c r="K6" s="2" t="b">
        <v>0</v>
      </c>
      <c r="L6" s="2" t="s">
        <v>16</v>
      </c>
      <c r="M6" s="2" t="s">
        <v>97</v>
      </c>
      <c r="N6" s="2"/>
      <c r="O6" s="2">
        <v>39.795001980000002</v>
      </c>
      <c r="P6" s="2" t="s">
        <v>98</v>
      </c>
      <c r="Q6" s="2" t="s">
        <v>99</v>
      </c>
    </row>
    <row r="7" spans="1:17" x14ac:dyDescent="0.2">
      <c r="A7" s="2" t="s">
        <v>72</v>
      </c>
      <c r="B7" s="2" t="s">
        <v>72</v>
      </c>
      <c r="C7" s="2" t="s">
        <v>100</v>
      </c>
      <c r="D7" s="2" t="s">
        <v>94</v>
      </c>
      <c r="E7" s="2" t="s">
        <v>95</v>
      </c>
      <c r="F7" s="2" t="b">
        <v>0</v>
      </c>
      <c r="G7" s="2" t="s">
        <v>68</v>
      </c>
      <c r="H7" s="2" t="str">
        <f t="shared" si="0"/>
        <v>October</v>
      </c>
      <c r="I7" s="7">
        <v>45209.263773148145</v>
      </c>
      <c r="J7" s="2" t="b">
        <v>0</v>
      </c>
      <c r="K7" s="2" t="b">
        <v>0</v>
      </c>
      <c r="L7" s="2" t="s">
        <v>68</v>
      </c>
      <c r="M7" s="2" t="s">
        <v>97</v>
      </c>
      <c r="N7" s="2"/>
      <c r="O7" s="2">
        <v>61.159996030000002</v>
      </c>
      <c r="P7" s="2" t="s">
        <v>101</v>
      </c>
      <c r="Q7" s="2" t="s">
        <v>102</v>
      </c>
    </row>
    <row r="8" spans="1:17" x14ac:dyDescent="0.2">
      <c r="A8" s="2" t="s">
        <v>72</v>
      </c>
      <c r="B8" s="2" t="s">
        <v>103</v>
      </c>
      <c r="C8" s="2" t="s">
        <v>104</v>
      </c>
      <c r="D8" s="2" t="s">
        <v>75</v>
      </c>
      <c r="E8" s="2" t="s">
        <v>67</v>
      </c>
      <c r="F8" s="2" t="b">
        <v>1</v>
      </c>
      <c r="G8" s="2" t="s">
        <v>96</v>
      </c>
      <c r="H8" s="2" t="str">
        <f t="shared" si="0"/>
        <v>October</v>
      </c>
      <c r="I8" s="7">
        <v>45225.797210648147</v>
      </c>
      <c r="J8" s="2" t="b">
        <v>0</v>
      </c>
      <c r="K8" s="2" t="b">
        <v>1</v>
      </c>
      <c r="L8" s="2" t="s">
        <v>16</v>
      </c>
      <c r="M8" s="2" t="s">
        <v>69</v>
      </c>
      <c r="N8" s="2">
        <v>135000</v>
      </c>
      <c r="O8" s="2"/>
      <c r="P8" s="2" t="s">
        <v>105</v>
      </c>
      <c r="Q8" s="2" t="s">
        <v>106</v>
      </c>
    </row>
    <row r="9" spans="1:17" x14ac:dyDescent="0.2">
      <c r="A9" s="2" t="s">
        <v>107</v>
      </c>
      <c r="B9" s="2" t="s">
        <v>108</v>
      </c>
      <c r="C9" s="2" t="s">
        <v>109</v>
      </c>
      <c r="D9" s="2" t="s">
        <v>66</v>
      </c>
      <c r="E9" s="2" t="s">
        <v>67</v>
      </c>
      <c r="F9" s="2" t="b">
        <v>0</v>
      </c>
      <c r="G9" s="2" t="s">
        <v>88</v>
      </c>
      <c r="H9" s="2" t="str">
        <f t="shared" si="0"/>
        <v>September</v>
      </c>
      <c r="I9" s="7">
        <v>45177.938310185185</v>
      </c>
      <c r="J9" s="2" t="b">
        <v>0</v>
      </c>
      <c r="K9" s="2" t="b">
        <v>0</v>
      </c>
      <c r="L9" s="2" t="s">
        <v>16</v>
      </c>
      <c r="M9" s="2" t="s">
        <v>69</v>
      </c>
      <c r="N9" s="2">
        <v>120000</v>
      </c>
      <c r="O9" s="2"/>
      <c r="P9" s="2" t="s">
        <v>110</v>
      </c>
      <c r="Q9" s="2" t="s">
        <v>111</v>
      </c>
    </row>
    <row r="10" spans="1:17" x14ac:dyDescent="0.2">
      <c r="A10" s="2" t="s">
        <v>79</v>
      </c>
      <c r="B10" s="2" t="s">
        <v>112</v>
      </c>
      <c r="C10" s="2" t="s">
        <v>104</v>
      </c>
      <c r="D10" s="2" t="s">
        <v>66</v>
      </c>
      <c r="E10" s="2" t="s">
        <v>67</v>
      </c>
      <c r="F10" s="2" t="b">
        <v>1</v>
      </c>
      <c r="G10" s="2" t="s">
        <v>113</v>
      </c>
      <c r="H10" s="2" t="str">
        <f t="shared" si="0"/>
        <v>September</v>
      </c>
      <c r="I10" s="7">
        <v>45176.334178240744</v>
      </c>
      <c r="J10" s="2" t="b">
        <v>1</v>
      </c>
      <c r="K10" s="2" t="b">
        <v>0</v>
      </c>
      <c r="L10" s="2" t="s">
        <v>16</v>
      </c>
      <c r="M10" s="2" t="s">
        <v>69</v>
      </c>
      <c r="N10" s="2">
        <v>170000</v>
      </c>
      <c r="O10" s="2"/>
      <c r="P10" s="2" t="s">
        <v>114</v>
      </c>
      <c r="Q10" s="2" t="s">
        <v>115</v>
      </c>
    </row>
    <row r="11" spans="1:17" x14ac:dyDescent="0.2">
      <c r="A11" s="2" t="s">
        <v>91</v>
      </c>
      <c r="B11" s="2" t="s">
        <v>116</v>
      </c>
      <c r="C11" s="2" t="s">
        <v>117</v>
      </c>
      <c r="D11" s="2" t="s">
        <v>118</v>
      </c>
      <c r="E11" s="2" t="s">
        <v>67</v>
      </c>
      <c r="F11" s="2" t="b">
        <v>0</v>
      </c>
      <c r="G11" s="2" t="s">
        <v>113</v>
      </c>
      <c r="H11" s="2" t="str">
        <f t="shared" si="0"/>
        <v>January</v>
      </c>
      <c r="I11" s="7">
        <v>44928.62572916667</v>
      </c>
      <c r="J11" s="2" t="b">
        <v>0</v>
      </c>
      <c r="K11" s="2" t="b">
        <v>1</v>
      </c>
      <c r="L11" s="2" t="s">
        <v>16</v>
      </c>
      <c r="M11" s="2" t="s">
        <v>69</v>
      </c>
      <c r="N11" s="2">
        <v>224500</v>
      </c>
      <c r="O11" s="2"/>
      <c r="P11" s="2" t="s">
        <v>119</v>
      </c>
      <c r="Q11" s="2" t="s">
        <v>120</v>
      </c>
    </row>
    <row r="12" spans="1:17" x14ac:dyDescent="0.2">
      <c r="A12" s="2" t="s">
        <v>91</v>
      </c>
      <c r="B12" s="2" t="s">
        <v>121</v>
      </c>
      <c r="C12" s="2" t="s">
        <v>122</v>
      </c>
      <c r="D12" s="2" t="s">
        <v>94</v>
      </c>
      <c r="E12" s="2" t="s">
        <v>95</v>
      </c>
      <c r="F12" s="2" t="b">
        <v>0</v>
      </c>
      <c r="G12" s="2" t="s">
        <v>113</v>
      </c>
      <c r="H12" s="2" t="str">
        <f t="shared" si="0"/>
        <v>October</v>
      </c>
      <c r="I12" s="7">
        <v>45208.767557870371</v>
      </c>
      <c r="J12" s="2" t="b">
        <v>0</v>
      </c>
      <c r="K12" s="2" t="b">
        <v>0</v>
      </c>
      <c r="L12" s="2" t="s">
        <v>16</v>
      </c>
      <c r="M12" s="2" t="s">
        <v>97</v>
      </c>
      <c r="N12" s="2"/>
      <c r="O12" s="2">
        <v>53.385002139999997</v>
      </c>
      <c r="P12" s="2" t="s">
        <v>123</v>
      </c>
      <c r="Q12" s="2"/>
    </row>
    <row r="13" spans="1:17" x14ac:dyDescent="0.2">
      <c r="A13" s="2" t="s">
        <v>91</v>
      </c>
      <c r="B13" s="2" t="s">
        <v>124</v>
      </c>
      <c r="C13" s="2" t="s">
        <v>125</v>
      </c>
      <c r="D13" s="2" t="s">
        <v>126</v>
      </c>
      <c r="E13" s="2" t="s">
        <v>67</v>
      </c>
      <c r="F13" s="2" t="b">
        <v>0</v>
      </c>
      <c r="G13" s="2" t="s">
        <v>113</v>
      </c>
      <c r="H13" s="2" t="str">
        <f t="shared" si="0"/>
        <v>April</v>
      </c>
      <c r="I13" s="7">
        <v>45021.419027777774</v>
      </c>
      <c r="J13" s="2" t="b">
        <v>0</v>
      </c>
      <c r="K13" s="2" t="b">
        <v>1</v>
      </c>
      <c r="L13" s="2" t="s">
        <v>16</v>
      </c>
      <c r="M13" s="2" t="s">
        <v>69</v>
      </c>
      <c r="N13" s="2">
        <v>225000</v>
      </c>
      <c r="O13" s="2"/>
      <c r="P13" s="2" t="s">
        <v>127</v>
      </c>
      <c r="Q13" s="2" t="s">
        <v>128</v>
      </c>
    </row>
    <row r="14" spans="1:17" x14ac:dyDescent="0.2">
      <c r="A14" s="2" t="s">
        <v>72</v>
      </c>
      <c r="B14" s="2" t="s">
        <v>129</v>
      </c>
      <c r="C14" s="2" t="s">
        <v>130</v>
      </c>
      <c r="D14" s="2" t="s">
        <v>94</v>
      </c>
      <c r="E14" s="2" t="s">
        <v>95</v>
      </c>
      <c r="F14" s="2" t="b">
        <v>0</v>
      </c>
      <c r="G14" s="2" t="s">
        <v>113</v>
      </c>
      <c r="H14" s="2" t="str">
        <f t="shared" si="0"/>
        <v>October</v>
      </c>
      <c r="I14" s="7">
        <v>45208.087465277778</v>
      </c>
      <c r="J14" s="2" t="b">
        <v>0</v>
      </c>
      <c r="K14" s="2" t="b">
        <v>0</v>
      </c>
      <c r="L14" s="2" t="s">
        <v>16</v>
      </c>
      <c r="M14" s="2" t="s">
        <v>97</v>
      </c>
      <c r="N14" s="2"/>
      <c r="O14" s="2">
        <v>64.440002440000001</v>
      </c>
      <c r="P14" s="2" t="s">
        <v>131</v>
      </c>
      <c r="Q14" s="2" t="s">
        <v>132</v>
      </c>
    </row>
    <row r="15" spans="1:17" x14ac:dyDescent="0.2">
      <c r="A15" s="2" t="s">
        <v>91</v>
      </c>
      <c r="B15" s="2" t="s">
        <v>133</v>
      </c>
      <c r="C15" s="2" t="s">
        <v>117</v>
      </c>
      <c r="D15" s="2" t="s">
        <v>118</v>
      </c>
      <c r="E15" s="2" t="s">
        <v>67</v>
      </c>
      <c r="F15" s="2" t="b">
        <v>0</v>
      </c>
      <c r="G15" s="2" t="s">
        <v>113</v>
      </c>
      <c r="H15" s="2" t="str">
        <f t="shared" si="0"/>
        <v>January</v>
      </c>
      <c r="I15" s="7">
        <v>44938.17</v>
      </c>
      <c r="J15" s="2" t="b">
        <v>0</v>
      </c>
      <c r="K15" s="2" t="b">
        <v>1</v>
      </c>
      <c r="L15" s="2" t="s">
        <v>16</v>
      </c>
      <c r="M15" s="2" t="s">
        <v>69</v>
      </c>
      <c r="N15" s="2">
        <v>157500</v>
      </c>
      <c r="O15" s="2"/>
      <c r="P15" s="2" t="s">
        <v>119</v>
      </c>
      <c r="Q15" s="2" t="s">
        <v>134</v>
      </c>
    </row>
    <row r="16" spans="1:17" x14ac:dyDescent="0.2">
      <c r="A16" s="2" t="s">
        <v>135</v>
      </c>
      <c r="B16" s="2" t="s">
        <v>136</v>
      </c>
      <c r="C16" s="2" t="s">
        <v>137</v>
      </c>
      <c r="D16" s="2" t="s">
        <v>75</v>
      </c>
      <c r="E16" s="2" t="s">
        <v>67</v>
      </c>
      <c r="F16" s="2" t="b">
        <v>0</v>
      </c>
      <c r="G16" s="2" t="s">
        <v>113</v>
      </c>
      <c r="H16" s="2" t="str">
        <f t="shared" si="0"/>
        <v>October</v>
      </c>
      <c r="I16" s="7">
        <v>45202.375648148147</v>
      </c>
      <c r="J16" s="2" t="b">
        <v>0</v>
      </c>
      <c r="K16" s="2" t="b">
        <v>1</v>
      </c>
      <c r="L16" s="2" t="s">
        <v>16</v>
      </c>
      <c r="M16" s="2" t="s">
        <v>69</v>
      </c>
      <c r="N16" s="2">
        <v>149508.5</v>
      </c>
      <c r="O16" s="2"/>
      <c r="P16" s="2" t="s">
        <v>119</v>
      </c>
      <c r="Q16" s="2" t="s">
        <v>138</v>
      </c>
    </row>
    <row r="17" spans="1:17" x14ac:dyDescent="0.2">
      <c r="A17" s="2" t="s">
        <v>91</v>
      </c>
      <c r="B17" s="2" t="s">
        <v>91</v>
      </c>
      <c r="C17" s="2" t="s">
        <v>104</v>
      </c>
      <c r="D17" s="2" t="s">
        <v>118</v>
      </c>
      <c r="E17" s="2" t="s">
        <v>139</v>
      </c>
      <c r="F17" s="2" t="b">
        <v>1</v>
      </c>
      <c r="G17" s="2" t="s">
        <v>140</v>
      </c>
      <c r="H17" s="2" t="str">
        <f t="shared" si="0"/>
        <v>October</v>
      </c>
      <c r="I17" s="7">
        <v>45219.672314814816</v>
      </c>
      <c r="J17" s="2" t="b">
        <v>0</v>
      </c>
      <c r="K17" s="2" t="b">
        <v>0</v>
      </c>
      <c r="L17" s="2" t="s">
        <v>16</v>
      </c>
      <c r="M17" s="2" t="s">
        <v>97</v>
      </c>
      <c r="N17" s="2"/>
      <c r="O17" s="2">
        <v>55</v>
      </c>
      <c r="P17" s="2" t="s">
        <v>141</v>
      </c>
      <c r="Q17" s="2"/>
    </row>
    <row r="18" spans="1:17" x14ac:dyDescent="0.2">
      <c r="A18" s="2" t="s">
        <v>72</v>
      </c>
      <c r="B18" s="2" t="s">
        <v>142</v>
      </c>
      <c r="C18" s="2" t="s">
        <v>143</v>
      </c>
      <c r="D18" s="2" t="s">
        <v>118</v>
      </c>
      <c r="E18" s="2" t="s">
        <v>67</v>
      </c>
      <c r="F18" s="2" t="b">
        <v>0</v>
      </c>
      <c r="G18" s="2" t="s">
        <v>96</v>
      </c>
      <c r="H18" s="2" t="str">
        <f t="shared" si="0"/>
        <v>December</v>
      </c>
      <c r="I18" s="7">
        <v>45277.546423611115</v>
      </c>
      <c r="J18" s="2" t="b">
        <v>0</v>
      </c>
      <c r="K18" s="2" t="b">
        <v>0</v>
      </c>
      <c r="L18" s="2" t="s">
        <v>16</v>
      </c>
      <c r="M18" s="2" t="s">
        <v>69</v>
      </c>
      <c r="N18" s="2">
        <v>112500</v>
      </c>
      <c r="O18" s="2"/>
      <c r="P18" s="2" t="s">
        <v>144</v>
      </c>
      <c r="Q18" s="2" t="s">
        <v>145</v>
      </c>
    </row>
    <row r="19" spans="1:17" x14ac:dyDescent="0.2">
      <c r="A19" s="2" t="s">
        <v>72</v>
      </c>
      <c r="B19" s="2" t="s">
        <v>72</v>
      </c>
      <c r="C19" s="2" t="s">
        <v>146</v>
      </c>
      <c r="D19" s="2" t="s">
        <v>147</v>
      </c>
      <c r="E19" s="2" t="s">
        <v>67</v>
      </c>
      <c r="F19" s="2" t="b">
        <v>0</v>
      </c>
      <c r="G19" s="2" t="s">
        <v>113</v>
      </c>
      <c r="H19" s="2" t="str">
        <f t="shared" si="0"/>
        <v>June</v>
      </c>
      <c r="I19" s="7">
        <v>45087.378460648149</v>
      </c>
      <c r="J19" s="2" t="b">
        <v>0</v>
      </c>
      <c r="K19" s="2" t="b">
        <v>1</v>
      </c>
      <c r="L19" s="2" t="s">
        <v>16</v>
      </c>
      <c r="M19" s="2" t="s">
        <v>69</v>
      </c>
      <c r="N19" s="2">
        <v>115000</v>
      </c>
      <c r="O19" s="2"/>
      <c r="P19" s="2" t="s">
        <v>148</v>
      </c>
      <c r="Q19" s="2" t="s">
        <v>149</v>
      </c>
    </row>
    <row r="20" spans="1:17" x14ac:dyDescent="0.2">
      <c r="A20" s="2" t="s">
        <v>91</v>
      </c>
      <c r="B20" s="2" t="s">
        <v>91</v>
      </c>
      <c r="C20" s="2" t="s">
        <v>150</v>
      </c>
      <c r="D20" s="2" t="s">
        <v>151</v>
      </c>
      <c r="E20" s="2" t="s">
        <v>67</v>
      </c>
      <c r="F20" s="2" t="b">
        <v>0</v>
      </c>
      <c r="G20" s="2" t="s">
        <v>88</v>
      </c>
      <c r="H20" s="2" t="str">
        <f t="shared" si="0"/>
        <v>August</v>
      </c>
      <c r="I20" s="7">
        <v>45154.003136574072</v>
      </c>
      <c r="J20" s="2" t="b">
        <v>0</v>
      </c>
      <c r="K20" s="2" t="b">
        <v>0</v>
      </c>
      <c r="L20" s="2" t="s">
        <v>16</v>
      </c>
      <c r="M20" s="2" t="s">
        <v>69</v>
      </c>
      <c r="N20" s="2">
        <v>98901.5</v>
      </c>
      <c r="O20" s="2"/>
      <c r="P20" s="2" t="s">
        <v>152</v>
      </c>
      <c r="Q20" s="2" t="s">
        <v>153</v>
      </c>
    </row>
    <row r="21" spans="1:17" x14ac:dyDescent="0.2">
      <c r="A21" s="2" t="s">
        <v>107</v>
      </c>
      <c r="B21" s="2" t="s">
        <v>154</v>
      </c>
      <c r="C21" s="2" t="s">
        <v>155</v>
      </c>
      <c r="D21" s="2" t="s">
        <v>156</v>
      </c>
      <c r="E21" s="2" t="s">
        <v>95</v>
      </c>
      <c r="F21" s="2" t="b">
        <v>0</v>
      </c>
      <c r="G21" s="2" t="s">
        <v>88</v>
      </c>
      <c r="H21" s="2" t="str">
        <f t="shared" si="0"/>
        <v>December</v>
      </c>
      <c r="I21" s="7">
        <v>45279.298425925925</v>
      </c>
      <c r="J21" s="2" t="b">
        <v>0</v>
      </c>
      <c r="K21" s="2" t="b">
        <v>1</v>
      </c>
      <c r="L21" s="2" t="s">
        <v>16</v>
      </c>
      <c r="M21" s="2" t="s">
        <v>69</v>
      </c>
      <c r="N21" s="2">
        <v>173500</v>
      </c>
      <c r="O21" s="2"/>
      <c r="P21" s="2" t="s">
        <v>157</v>
      </c>
      <c r="Q21" s="2" t="s">
        <v>158</v>
      </c>
    </row>
    <row r="22" spans="1:17" x14ac:dyDescent="0.2">
      <c r="A22" s="2" t="s">
        <v>135</v>
      </c>
      <c r="B22" s="2" t="s">
        <v>135</v>
      </c>
      <c r="C22" s="2" t="s">
        <v>159</v>
      </c>
      <c r="D22" s="2" t="s">
        <v>160</v>
      </c>
      <c r="E22" s="2" t="s">
        <v>95</v>
      </c>
      <c r="F22" s="2" t="b">
        <v>0</v>
      </c>
      <c r="G22" s="2" t="s">
        <v>82</v>
      </c>
      <c r="H22" s="2" t="str">
        <f t="shared" si="0"/>
        <v>December</v>
      </c>
      <c r="I22" s="7">
        <v>45277.458553240744</v>
      </c>
      <c r="J22" s="2" t="b">
        <v>0</v>
      </c>
      <c r="K22" s="2" t="b">
        <v>0</v>
      </c>
      <c r="L22" s="2" t="s">
        <v>16</v>
      </c>
      <c r="M22" s="2" t="s">
        <v>97</v>
      </c>
      <c r="N22" s="2"/>
      <c r="O22" s="2">
        <v>15</v>
      </c>
      <c r="P22" s="2" t="s">
        <v>161</v>
      </c>
      <c r="Q22" s="2" t="s">
        <v>162</v>
      </c>
    </row>
    <row r="23" spans="1:17" x14ac:dyDescent="0.2">
      <c r="A23" s="2" t="s">
        <v>91</v>
      </c>
      <c r="B23" s="2" t="s">
        <v>163</v>
      </c>
      <c r="C23" s="2" t="s">
        <v>164</v>
      </c>
      <c r="D23" s="2" t="s">
        <v>87</v>
      </c>
      <c r="E23" s="2" t="s">
        <v>67</v>
      </c>
      <c r="F23" s="2" t="b">
        <v>0</v>
      </c>
      <c r="G23" s="2" t="s">
        <v>12</v>
      </c>
      <c r="H23" s="2" t="str">
        <f t="shared" si="0"/>
        <v>January</v>
      </c>
      <c r="I23" s="7">
        <v>44956.342997685184</v>
      </c>
      <c r="J23" s="2" t="b">
        <v>0</v>
      </c>
      <c r="K23" s="2" t="b">
        <v>0</v>
      </c>
      <c r="L23" s="2" t="s">
        <v>12</v>
      </c>
      <c r="M23" s="2" t="s">
        <v>69</v>
      </c>
      <c r="N23" s="2">
        <v>88128</v>
      </c>
      <c r="O23" s="2"/>
      <c r="P23" s="2" t="s">
        <v>165</v>
      </c>
      <c r="Q23" s="2" t="s">
        <v>166</v>
      </c>
    </row>
    <row r="24" spans="1:17" x14ac:dyDescent="0.2">
      <c r="A24" s="2" t="s">
        <v>63</v>
      </c>
      <c r="B24" s="2" t="s">
        <v>63</v>
      </c>
      <c r="C24" s="2" t="s">
        <v>167</v>
      </c>
      <c r="D24" s="2" t="s">
        <v>118</v>
      </c>
      <c r="E24" s="2" t="s">
        <v>67</v>
      </c>
      <c r="F24" s="2" t="b">
        <v>0</v>
      </c>
      <c r="G24" s="2" t="s">
        <v>140</v>
      </c>
      <c r="H24" s="2" t="str">
        <f t="shared" si="0"/>
        <v>November</v>
      </c>
      <c r="I24" s="7">
        <v>45233.752858796295</v>
      </c>
      <c r="J24" s="2" t="b">
        <v>0</v>
      </c>
      <c r="K24" s="2" t="b">
        <v>1</v>
      </c>
      <c r="L24" s="2" t="s">
        <v>16</v>
      </c>
      <c r="M24" s="2" t="s">
        <v>69</v>
      </c>
      <c r="N24" s="2">
        <v>170000</v>
      </c>
      <c r="O24" s="2"/>
      <c r="P24" s="2" t="s">
        <v>168</v>
      </c>
      <c r="Q24" s="2" t="s">
        <v>169</v>
      </c>
    </row>
    <row r="25" spans="1:17" x14ac:dyDescent="0.2">
      <c r="A25" s="2" t="s">
        <v>72</v>
      </c>
      <c r="B25" s="2" t="s">
        <v>72</v>
      </c>
      <c r="C25" s="2" t="s">
        <v>104</v>
      </c>
      <c r="D25" s="2" t="s">
        <v>118</v>
      </c>
      <c r="E25" s="2" t="s">
        <v>139</v>
      </c>
      <c r="F25" s="2" t="b">
        <v>1</v>
      </c>
      <c r="G25" s="2" t="s">
        <v>113</v>
      </c>
      <c r="H25" s="2" t="str">
        <f t="shared" si="0"/>
        <v>July</v>
      </c>
      <c r="I25" s="7">
        <v>45121.588576388887</v>
      </c>
      <c r="J25" s="2" t="b">
        <v>0</v>
      </c>
      <c r="K25" s="2" t="b">
        <v>0</v>
      </c>
      <c r="L25" s="2" t="s">
        <v>16</v>
      </c>
      <c r="M25" s="2" t="s">
        <v>97</v>
      </c>
      <c r="N25" s="2"/>
      <c r="O25" s="2">
        <v>42.5</v>
      </c>
      <c r="P25" s="2" t="s">
        <v>170</v>
      </c>
      <c r="Q25" s="2" t="s">
        <v>171</v>
      </c>
    </row>
    <row r="26" spans="1:17" x14ac:dyDescent="0.2">
      <c r="A26" s="2" t="s">
        <v>91</v>
      </c>
      <c r="B26" s="2" t="s">
        <v>172</v>
      </c>
      <c r="C26" s="2"/>
      <c r="D26" s="2" t="s">
        <v>118</v>
      </c>
      <c r="E26" s="2" t="s">
        <v>139</v>
      </c>
      <c r="F26" s="2" t="b">
        <v>0</v>
      </c>
      <c r="G26" s="2" t="s">
        <v>82</v>
      </c>
      <c r="H26" s="2" t="str">
        <f t="shared" si="0"/>
        <v>July</v>
      </c>
      <c r="I26" s="7">
        <v>45127.877523148149</v>
      </c>
      <c r="J26" s="2" t="b">
        <v>0</v>
      </c>
      <c r="K26" s="2" t="b">
        <v>0</v>
      </c>
      <c r="L26" s="2" t="s">
        <v>16</v>
      </c>
      <c r="M26" s="2" t="s">
        <v>69</v>
      </c>
      <c r="N26" s="2">
        <v>125000</v>
      </c>
      <c r="O26" s="2"/>
      <c r="P26" s="2" t="s">
        <v>173</v>
      </c>
      <c r="Q26" s="2" t="s">
        <v>174</v>
      </c>
    </row>
    <row r="27" spans="1:17" x14ac:dyDescent="0.2">
      <c r="A27" s="2" t="s">
        <v>72</v>
      </c>
      <c r="B27" s="2" t="s">
        <v>175</v>
      </c>
      <c r="C27" s="2" t="s">
        <v>176</v>
      </c>
      <c r="D27" s="2" t="s">
        <v>94</v>
      </c>
      <c r="E27" s="2" t="s">
        <v>67</v>
      </c>
      <c r="F27" s="2" t="b">
        <v>0</v>
      </c>
      <c r="G27" s="2" t="s">
        <v>113</v>
      </c>
      <c r="H27" s="2" t="str">
        <f t="shared" si="0"/>
        <v>August</v>
      </c>
      <c r="I27" s="7">
        <v>45140.755648148152</v>
      </c>
      <c r="J27" s="2" t="b">
        <v>0</v>
      </c>
      <c r="K27" s="2" t="b">
        <v>1</v>
      </c>
      <c r="L27" s="2" t="s">
        <v>16</v>
      </c>
      <c r="M27" s="2" t="s">
        <v>97</v>
      </c>
      <c r="N27" s="2"/>
      <c r="O27" s="2">
        <v>64.440002440000001</v>
      </c>
      <c r="P27" s="2" t="s">
        <v>177</v>
      </c>
      <c r="Q27" s="2" t="s">
        <v>178</v>
      </c>
    </row>
    <row r="28" spans="1:17" x14ac:dyDescent="0.2">
      <c r="A28" s="2" t="s">
        <v>107</v>
      </c>
      <c r="B28" s="2" t="s">
        <v>179</v>
      </c>
      <c r="C28" s="2" t="s">
        <v>176</v>
      </c>
      <c r="D28" s="2" t="s">
        <v>118</v>
      </c>
      <c r="E28" s="2" t="s">
        <v>67</v>
      </c>
      <c r="F28" s="2" t="b">
        <v>0</v>
      </c>
      <c r="G28" s="2" t="s">
        <v>68</v>
      </c>
      <c r="H28" s="2" t="str">
        <f t="shared" si="0"/>
        <v>November</v>
      </c>
      <c r="I28" s="7">
        <v>45249.569965277777</v>
      </c>
      <c r="J28" s="2" t="b">
        <v>0</v>
      </c>
      <c r="K28" s="2" t="b">
        <v>1</v>
      </c>
      <c r="L28" s="2" t="s">
        <v>68</v>
      </c>
      <c r="M28" s="2" t="s">
        <v>69</v>
      </c>
      <c r="N28" s="2">
        <v>260775</v>
      </c>
      <c r="O28" s="2"/>
      <c r="P28" s="2" t="s">
        <v>119</v>
      </c>
      <c r="Q28" s="2" t="s">
        <v>180</v>
      </c>
    </row>
    <row r="29" spans="1:17" x14ac:dyDescent="0.2">
      <c r="A29" s="2" t="s">
        <v>107</v>
      </c>
      <c r="B29" s="2" t="s">
        <v>107</v>
      </c>
      <c r="C29" s="2" t="s">
        <v>181</v>
      </c>
      <c r="D29" s="2" t="s">
        <v>118</v>
      </c>
      <c r="E29" s="2" t="s">
        <v>139</v>
      </c>
      <c r="F29" s="2" t="b">
        <v>0</v>
      </c>
      <c r="G29" s="2" t="s">
        <v>140</v>
      </c>
      <c r="H29" s="2" t="str">
        <f t="shared" si="0"/>
        <v>February</v>
      </c>
      <c r="I29" s="7">
        <v>44959.633032407408</v>
      </c>
      <c r="J29" s="2" t="b">
        <v>0</v>
      </c>
      <c r="K29" s="2" t="b">
        <v>0</v>
      </c>
      <c r="L29" s="2" t="s">
        <v>16</v>
      </c>
      <c r="M29" s="2" t="s">
        <v>97</v>
      </c>
      <c r="N29" s="2"/>
      <c r="O29" s="2">
        <v>69</v>
      </c>
      <c r="P29" s="2" t="s">
        <v>182</v>
      </c>
      <c r="Q29" s="2" t="s">
        <v>183</v>
      </c>
    </row>
    <row r="30" spans="1:17" x14ac:dyDescent="0.2">
      <c r="A30" s="2" t="s">
        <v>107</v>
      </c>
      <c r="B30" s="2" t="s">
        <v>107</v>
      </c>
      <c r="C30" s="2" t="s">
        <v>184</v>
      </c>
      <c r="D30" s="2" t="s">
        <v>147</v>
      </c>
      <c r="E30" s="2" t="s">
        <v>67</v>
      </c>
      <c r="F30" s="2" t="b">
        <v>0</v>
      </c>
      <c r="G30" s="2" t="s">
        <v>88</v>
      </c>
      <c r="H30" s="2" t="str">
        <f t="shared" si="0"/>
        <v>July</v>
      </c>
      <c r="I30" s="7">
        <v>45111.256053240744</v>
      </c>
      <c r="J30" s="2" t="b">
        <v>0</v>
      </c>
      <c r="K30" s="2" t="b">
        <v>0</v>
      </c>
      <c r="L30" s="2" t="s">
        <v>16</v>
      </c>
      <c r="M30" s="2" t="s">
        <v>69</v>
      </c>
      <c r="N30" s="2">
        <v>125000</v>
      </c>
      <c r="O30" s="2"/>
      <c r="P30" s="2" t="s">
        <v>185</v>
      </c>
      <c r="Q30" s="2" t="s">
        <v>186</v>
      </c>
    </row>
    <row r="31" spans="1:17" x14ac:dyDescent="0.2">
      <c r="A31" s="2" t="s">
        <v>91</v>
      </c>
      <c r="B31" s="2" t="s">
        <v>187</v>
      </c>
      <c r="C31" s="2" t="s">
        <v>188</v>
      </c>
      <c r="D31" s="2" t="s">
        <v>189</v>
      </c>
      <c r="E31" s="2" t="s">
        <v>67</v>
      </c>
      <c r="F31" s="2" t="b">
        <v>0</v>
      </c>
      <c r="G31" s="2" t="s">
        <v>113</v>
      </c>
      <c r="H31" s="2" t="str">
        <f t="shared" si="0"/>
        <v>January</v>
      </c>
      <c r="I31" s="7">
        <v>44953.003946759258</v>
      </c>
      <c r="J31" s="2" t="b">
        <v>0</v>
      </c>
      <c r="K31" s="2" t="b">
        <v>1</v>
      </c>
      <c r="L31" s="2" t="s">
        <v>16</v>
      </c>
      <c r="M31" s="2" t="s">
        <v>97</v>
      </c>
      <c r="N31" s="2"/>
      <c r="O31" s="2">
        <v>24</v>
      </c>
      <c r="P31" s="2" t="s">
        <v>190</v>
      </c>
      <c r="Q31" s="2" t="s">
        <v>191</v>
      </c>
    </row>
    <row r="32" spans="1:17" x14ac:dyDescent="0.2">
      <c r="A32" s="2" t="s">
        <v>135</v>
      </c>
      <c r="B32" s="2" t="s">
        <v>192</v>
      </c>
      <c r="C32" s="2" t="s">
        <v>93</v>
      </c>
      <c r="D32" s="2" t="s">
        <v>147</v>
      </c>
      <c r="E32" s="2" t="s">
        <v>67</v>
      </c>
      <c r="F32" s="2" t="b">
        <v>0</v>
      </c>
      <c r="G32" s="2" t="s">
        <v>96</v>
      </c>
      <c r="H32" s="2" t="str">
        <f t="shared" si="0"/>
        <v>June</v>
      </c>
      <c r="I32" s="7">
        <v>45096.334293981483</v>
      </c>
      <c r="J32" s="2" t="b">
        <v>0</v>
      </c>
      <c r="K32" s="2" t="b">
        <v>0</v>
      </c>
      <c r="L32" s="2" t="s">
        <v>16</v>
      </c>
      <c r="M32" s="2" t="s">
        <v>69</v>
      </c>
      <c r="N32" s="2">
        <v>125000</v>
      </c>
      <c r="O32" s="2"/>
      <c r="P32" s="2" t="s">
        <v>193</v>
      </c>
      <c r="Q32" s="2"/>
    </row>
    <row r="33" spans="1:17" x14ac:dyDescent="0.2">
      <c r="A33" s="2" t="s">
        <v>91</v>
      </c>
      <c r="B33" s="2" t="s">
        <v>194</v>
      </c>
      <c r="C33" s="2" t="s">
        <v>104</v>
      </c>
      <c r="D33" s="2" t="s">
        <v>94</v>
      </c>
      <c r="E33" s="2" t="s">
        <v>195</v>
      </c>
      <c r="F33" s="2" t="b">
        <v>1</v>
      </c>
      <c r="G33" s="2" t="s">
        <v>113</v>
      </c>
      <c r="H33" s="2" t="str">
        <f t="shared" si="0"/>
        <v>October</v>
      </c>
      <c r="I33" s="7">
        <v>45204.127893518518</v>
      </c>
      <c r="J33" s="2" t="b">
        <v>0</v>
      </c>
      <c r="K33" s="2" t="b">
        <v>1</v>
      </c>
      <c r="L33" s="2" t="s">
        <v>16</v>
      </c>
      <c r="M33" s="2" t="s">
        <v>97</v>
      </c>
      <c r="N33" s="2"/>
      <c r="O33" s="2">
        <v>25</v>
      </c>
      <c r="P33" s="2" t="s">
        <v>196</v>
      </c>
      <c r="Q33" s="2" t="s">
        <v>197</v>
      </c>
    </row>
    <row r="34" spans="1:17" x14ac:dyDescent="0.2">
      <c r="A34" s="2" t="s">
        <v>72</v>
      </c>
      <c r="B34" s="2" t="s">
        <v>72</v>
      </c>
      <c r="C34" s="2"/>
      <c r="D34" s="2" t="s">
        <v>118</v>
      </c>
      <c r="E34" s="2" t="s">
        <v>67</v>
      </c>
      <c r="F34" s="2" t="b">
        <v>0</v>
      </c>
      <c r="G34" s="2" t="s">
        <v>140</v>
      </c>
      <c r="H34" s="2" t="str">
        <f t="shared" si="0"/>
        <v>March</v>
      </c>
      <c r="I34" s="7">
        <v>44992.899085648147</v>
      </c>
      <c r="J34" s="2" t="b">
        <v>0</v>
      </c>
      <c r="K34" s="2" t="b">
        <v>0</v>
      </c>
      <c r="L34" s="2" t="s">
        <v>16</v>
      </c>
      <c r="M34" s="2" t="s">
        <v>69</v>
      </c>
      <c r="N34" s="2">
        <v>97500</v>
      </c>
      <c r="O34" s="2"/>
      <c r="P34" s="2" t="s">
        <v>198</v>
      </c>
      <c r="Q34" s="2" t="s">
        <v>199</v>
      </c>
    </row>
    <row r="35" spans="1:17" x14ac:dyDescent="0.2">
      <c r="A35" s="2" t="s">
        <v>107</v>
      </c>
      <c r="B35" s="2" t="s">
        <v>200</v>
      </c>
      <c r="C35" s="2" t="s">
        <v>104</v>
      </c>
      <c r="D35" s="2" t="s">
        <v>201</v>
      </c>
      <c r="E35" s="2" t="s">
        <v>67</v>
      </c>
      <c r="F35" s="2" t="b">
        <v>1</v>
      </c>
      <c r="G35" s="2" t="s">
        <v>113</v>
      </c>
      <c r="H35" s="2" t="str">
        <f t="shared" si="0"/>
        <v>June</v>
      </c>
      <c r="I35" s="7">
        <v>45101.297662037039</v>
      </c>
      <c r="J35" s="2" t="b">
        <v>0</v>
      </c>
      <c r="K35" s="2" t="b">
        <v>1</v>
      </c>
      <c r="L35" s="2" t="s">
        <v>16</v>
      </c>
      <c r="M35" s="2" t="s">
        <v>69</v>
      </c>
      <c r="N35" s="2">
        <v>147500</v>
      </c>
      <c r="O35" s="2"/>
      <c r="P35" s="2" t="s">
        <v>202</v>
      </c>
      <c r="Q35" s="2" t="s">
        <v>149</v>
      </c>
    </row>
    <row r="36" spans="1:17" x14ac:dyDescent="0.2">
      <c r="A36" s="2" t="s">
        <v>135</v>
      </c>
      <c r="B36" s="2" t="s">
        <v>135</v>
      </c>
      <c r="C36" s="2" t="s">
        <v>203</v>
      </c>
      <c r="D36" s="2" t="s">
        <v>75</v>
      </c>
      <c r="E36" s="2" t="s">
        <v>67</v>
      </c>
      <c r="F36" s="2" t="b">
        <v>0</v>
      </c>
      <c r="G36" s="2" t="s">
        <v>82</v>
      </c>
      <c r="H36" s="2" t="str">
        <f t="shared" si="0"/>
        <v>February</v>
      </c>
      <c r="I36" s="7">
        <v>44963.374930555554</v>
      </c>
      <c r="J36" s="2" t="b">
        <v>0</v>
      </c>
      <c r="K36" s="2" t="b">
        <v>0</v>
      </c>
      <c r="L36" s="2" t="s">
        <v>16</v>
      </c>
      <c r="M36" s="2" t="s">
        <v>69</v>
      </c>
      <c r="N36" s="2">
        <v>84000</v>
      </c>
      <c r="O36" s="2"/>
      <c r="P36" s="2" t="s">
        <v>204</v>
      </c>
      <c r="Q36" s="2" t="s">
        <v>205</v>
      </c>
    </row>
    <row r="37" spans="1:17" x14ac:dyDescent="0.2">
      <c r="A37" s="2" t="s">
        <v>72</v>
      </c>
      <c r="B37" s="2" t="s">
        <v>206</v>
      </c>
      <c r="C37" s="2" t="s">
        <v>100</v>
      </c>
      <c r="D37" s="2" t="s">
        <v>94</v>
      </c>
      <c r="E37" s="2" t="s">
        <v>95</v>
      </c>
      <c r="F37" s="2" t="b">
        <v>0</v>
      </c>
      <c r="G37" s="2" t="s">
        <v>113</v>
      </c>
      <c r="H37" s="2" t="str">
        <f t="shared" si="0"/>
        <v>November</v>
      </c>
      <c r="I37" s="7">
        <v>45235.795104166667</v>
      </c>
      <c r="J37" s="2" t="b">
        <v>0</v>
      </c>
      <c r="K37" s="2" t="b">
        <v>0</v>
      </c>
      <c r="L37" s="2" t="s">
        <v>16</v>
      </c>
      <c r="M37" s="2" t="s">
        <v>97</v>
      </c>
      <c r="N37" s="2"/>
      <c r="O37" s="2">
        <v>61.159996030000002</v>
      </c>
      <c r="P37" s="2" t="s">
        <v>101</v>
      </c>
      <c r="Q37" s="2" t="s">
        <v>207</v>
      </c>
    </row>
    <row r="38" spans="1:17" x14ac:dyDescent="0.2">
      <c r="A38" s="2" t="s">
        <v>91</v>
      </c>
      <c r="B38" s="2" t="s">
        <v>208</v>
      </c>
      <c r="C38" s="2" t="s">
        <v>209</v>
      </c>
      <c r="D38" s="2" t="s">
        <v>66</v>
      </c>
      <c r="E38" s="2" t="s">
        <v>67</v>
      </c>
      <c r="F38" s="2" t="b">
        <v>0</v>
      </c>
      <c r="G38" s="2" t="s">
        <v>113</v>
      </c>
      <c r="H38" s="2" t="str">
        <f t="shared" si="0"/>
        <v>January</v>
      </c>
      <c r="I38" s="7">
        <v>44955.420057870368</v>
      </c>
      <c r="J38" s="2" t="b">
        <v>0</v>
      </c>
      <c r="K38" s="2" t="b">
        <v>1</v>
      </c>
      <c r="L38" s="2" t="s">
        <v>16</v>
      </c>
      <c r="M38" s="2" t="s">
        <v>69</v>
      </c>
      <c r="N38" s="2">
        <v>105800</v>
      </c>
      <c r="O38" s="2"/>
      <c r="P38" s="2" t="s">
        <v>70</v>
      </c>
      <c r="Q38" s="2" t="s">
        <v>210</v>
      </c>
    </row>
    <row r="39" spans="1:17" x14ac:dyDescent="0.2">
      <c r="A39" s="2" t="s">
        <v>72</v>
      </c>
      <c r="B39" s="2" t="s">
        <v>72</v>
      </c>
      <c r="C39" s="2" t="s">
        <v>211</v>
      </c>
      <c r="D39" s="2" t="s">
        <v>118</v>
      </c>
      <c r="E39" s="2" t="s">
        <v>139</v>
      </c>
      <c r="F39" s="2" t="b">
        <v>0</v>
      </c>
      <c r="G39" s="2" t="s">
        <v>82</v>
      </c>
      <c r="H39" s="2" t="str">
        <f t="shared" si="0"/>
        <v>June</v>
      </c>
      <c r="I39" s="7">
        <v>45103.628888888888</v>
      </c>
      <c r="J39" s="2" t="b">
        <v>0</v>
      </c>
      <c r="K39" s="2" t="b">
        <v>0</v>
      </c>
      <c r="L39" s="2" t="s">
        <v>16</v>
      </c>
      <c r="M39" s="2" t="s">
        <v>97</v>
      </c>
      <c r="N39" s="2"/>
      <c r="O39" s="2">
        <v>55</v>
      </c>
      <c r="P39" s="2" t="s">
        <v>182</v>
      </c>
      <c r="Q39" s="2" t="s">
        <v>212</v>
      </c>
    </row>
    <row r="40" spans="1:17" x14ac:dyDescent="0.2">
      <c r="A40" s="2" t="s">
        <v>107</v>
      </c>
      <c r="B40" s="2" t="s">
        <v>213</v>
      </c>
      <c r="C40" s="2" t="s">
        <v>214</v>
      </c>
      <c r="D40" s="2" t="s">
        <v>215</v>
      </c>
      <c r="E40" s="2" t="s">
        <v>67</v>
      </c>
      <c r="F40" s="2" t="b">
        <v>0</v>
      </c>
      <c r="G40" s="2" t="s">
        <v>82</v>
      </c>
      <c r="H40" s="2" t="str">
        <f t="shared" si="0"/>
        <v>February</v>
      </c>
      <c r="I40" s="7">
        <v>44973.963182870371</v>
      </c>
      <c r="J40" s="2" t="b">
        <v>1</v>
      </c>
      <c r="K40" s="2" t="b">
        <v>0</v>
      </c>
      <c r="L40" s="2" t="s">
        <v>16</v>
      </c>
      <c r="M40" s="2" t="s">
        <v>69</v>
      </c>
      <c r="N40" s="2">
        <v>160000</v>
      </c>
      <c r="O40" s="2"/>
      <c r="P40" s="2" t="s">
        <v>216</v>
      </c>
      <c r="Q40" s="2" t="s">
        <v>217</v>
      </c>
    </row>
    <row r="41" spans="1:17" x14ac:dyDescent="0.2">
      <c r="A41" s="2" t="s">
        <v>91</v>
      </c>
      <c r="B41" s="2" t="s">
        <v>91</v>
      </c>
      <c r="C41" s="2" t="s">
        <v>218</v>
      </c>
      <c r="D41" s="2" t="s">
        <v>66</v>
      </c>
      <c r="E41" s="2" t="s">
        <v>95</v>
      </c>
      <c r="F41" s="2" t="b">
        <v>0</v>
      </c>
      <c r="G41" s="2" t="s">
        <v>113</v>
      </c>
      <c r="H41" s="2" t="str">
        <f t="shared" si="0"/>
        <v>October</v>
      </c>
      <c r="I41" s="7">
        <v>45209.293923611112</v>
      </c>
      <c r="J41" s="2" t="b">
        <v>0</v>
      </c>
      <c r="K41" s="2" t="b">
        <v>0</v>
      </c>
      <c r="L41" s="2" t="s">
        <v>16</v>
      </c>
      <c r="M41" s="2" t="s">
        <v>69</v>
      </c>
      <c r="N41" s="2">
        <v>98496</v>
      </c>
      <c r="O41" s="2"/>
      <c r="P41" s="2" t="s">
        <v>219</v>
      </c>
      <c r="Q41" s="2"/>
    </row>
    <row r="42" spans="1:17" x14ac:dyDescent="0.2">
      <c r="A42" s="2" t="s">
        <v>72</v>
      </c>
      <c r="B42" s="2" t="s">
        <v>72</v>
      </c>
      <c r="C42" s="2" t="s">
        <v>220</v>
      </c>
      <c r="D42" s="2" t="s">
        <v>147</v>
      </c>
      <c r="E42" s="2" t="s">
        <v>67</v>
      </c>
      <c r="F42" s="2" t="b">
        <v>0</v>
      </c>
      <c r="G42" s="2" t="s">
        <v>82</v>
      </c>
      <c r="H42" s="2" t="str">
        <f t="shared" si="0"/>
        <v>June</v>
      </c>
      <c r="I42" s="7">
        <v>45101.421805555554</v>
      </c>
      <c r="J42" s="2" t="b">
        <v>0</v>
      </c>
      <c r="K42" s="2" t="b">
        <v>1</v>
      </c>
      <c r="L42" s="2" t="s">
        <v>16</v>
      </c>
      <c r="M42" s="2" t="s">
        <v>69</v>
      </c>
      <c r="N42" s="2">
        <v>115000</v>
      </c>
      <c r="O42" s="2"/>
      <c r="P42" s="2" t="s">
        <v>221</v>
      </c>
      <c r="Q42" s="2" t="s">
        <v>222</v>
      </c>
    </row>
    <row r="43" spans="1:17" x14ac:dyDescent="0.2">
      <c r="A43" s="2" t="s">
        <v>72</v>
      </c>
      <c r="B43" s="2" t="s">
        <v>223</v>
      </c>
      <c r="C43" s="2" t="s">
        <v>176</v>
      </c>
      <c r="D43" s="2" t="s">
        <v>118</v>
      </c>
      <c r="E43" s="2" t="s">
        <v>67</v>
      </c>
      <c r="F43" s="2" t="b">
        <v>0</v>
      </c>
      <c r="G43" s="2" t="s">
        <v>76</v>
      </c>
      <c r="H43" s="2" t="str">
        <f t="shared" si="0"/>
        <v>November</v>
      </c>
      <c r="I43" s="7">
        <v>45259.570138888892</v>
      </c>
      <c r="J43" s="2" t="b">
        <v>0</v>
      </c>
      <c r="K43" s="2" t="b">
        <v>1</v>
      </c>
      <c r="L43" s="2" t="s">
        <v>16</v>
      </c>
      <c r="M43" s="2" t="s">
        <v>69</v>
      </c>
      <c r="N43" s="2">
        <v>182500</v>
      </c>
      <c r="O43" s="2"/>
      <c r="P43" s="2" t="s">
        <v>119</v>
      </c>
      <c r="Q43" s="2" t="s">
        <v>224</v>
      </c>
    </row>
    <row r="44" spans="1:17" x14ac:dyDescent="0.2">
      <c r="A44" s="2" t="s">
        <v>72</v>
      </c>
      <c r="B44" s="2" t="s">
        <v>225</v>
      </c>
      <c r="C44" s="2" t="s">
        <v>226</v>
      </c>
      <c r="D44" s="2" t="s">
        <v>94</v>
      </c>
      <c r="E44" s="2" t="s">
        <v>67</v>
      </c>
      <c r="F44" s="2" t="b">
        <v>0</v>
      </c>
      <c r="G44" s="2" t="s">
        <v>96</v>
      </c>
      <c r="H44" s="2" t="str">
        <f t="shared" si="0"/>
        <v>September</v>
      </c>
      <c r="I44" s="7">
        <v>45173.254652777781</v>
      </c>
      <c r="J44" s="2" t="b">
        <v>0</v>
      </c>
      <c r="K44" s="2" t="b">
        <v>1</v>
      </c>
      <c r="L44" s="2" t="s">
        <v>16</v>
      </c>
      <c r="M44" s="2" t="s">
        <v>97</v>
      </c>
      <c r="N44" s="2"/>
      <c r="O44" s="2">
        <v>37.15499878</v>
      </c>
      <c r="P44" s="2" t="s">
        <v>227</v>
      </c>
      <c r="Q44" s="2" t="s">
        <v>228</v>
      </c>
    </row>
    <row r="45" spans="1:17" x14ac:dyDescent="0.2">
      <c r="A45" s="2" t="s">
        <v>107</v>
      </c>
      <c r="B45" s="2" t="s">
        <v>107</v>
      </c>
      <c r="C45" s="2" t="s">
        <v>104</v>
      </c>
      <c r="D45" s="2" t="s">
        <v>118</v>
      </c>
      <c r="E45" s="2" t="s">
        <v>67</v>
      </c>
      <c r="F45" s="2" t="b">
        <v>1</v>
      </c>
      <c r="G45" s="2" t="s">
        <v>82</v>
      </c>
      <c r="H45" s="2" t="str">
        <f t="shared" si="0"/>
        <v>September</v>
      </c>
      <c r="I45" s="7">
        <v>45175.543738425928</v>
      </c>
      <c r="J45" s="2" t="b">
        <v>0</v>
      </c>
      <c r="K45" s="2" t="b">
        <v>0</v>
      </c>
      <c r="L45" s="2" t="s">
        <v>16</v>
      </c>
      <c r="M45" s="2" t="s">
        <v>69</v>
      </c>
      <c r="N45" s="2">
        <v>200000</v>
      </c>
      <c r="O45" s="2"/>
      <c r="P45" s="2" t="s">
        <v>229</v>
      </c>
      <c r="Q45" s="2" t="s">
        <v>230</v>
      </c>
    </row>
    <row r="46" spans="1:17" x14ac:dyDescent="0.2">
      <c r="A46" s="2" t="s">
        <v>231</v>
      </c>
      <c r="B46" s="2" t="s">
        <v>232</v>
      </c>
      <c r="C46" s="2" t="s">
        <v>104</v>
      </c>
      <c r="D46" s="2" t="s">
        <v>118</v>
      </c>
      <c r="E46" s="2" t="s">
        <v>67</v>
      </c>
      <c r="F46" s="2" t="b">
        <v>1</v>
      </c>
      <c r="G46" s="2" t="s">
        <v>233</v>
      </c>
      <c r="H46" s="2" t="str">
        <f t="shared" si="0"/>
        <v>October</v>
      </c>
      <c r="I46" s="7">
        <v>45204.720381944448</v>
      </c>
      <c r="J46" s="2" t="b">
        <v>0</v>
      </c>
      <c r="K46" s="2" t="b">
        <v>0</v>
      </c>
      <c r="L46" s="2" t="s">
        <v>233</v>
      </c>
      <c r="M46" s="2" t="s">
        <v>69</v>
      </c>
      <c r="N46" s="2">
        <v>155000</v>
      </c>
      <c r="O46" s="2"/>
      <c r="P46" s="2" t="s">
        <v>234</v>
      </c>
      <c r="Q46" s="2" t="s">
        <v>235</v>
      </c>
    </row>
    <row r="47" spans="1:17" x14ac:dyDescent="0.2">
      <c r="A47" s="2" t="s">
        <v>72</v>
      </c>
      <c r="B47" s="2" t="s">
        <v>72</v>
      </c>
      <c r="C47" s="2" t="s">
        <v>236</v>
      </c>
      <c r="D47" s="2" t="s">
        <v>237</v>
      </c>
      <c r="E47" s="2" t="s">
        <v>67</v>
      </c>
      <c r="F47" s="2" t="b">
        <v>0</v>
      </c>
      <c r="G47" s="2" t="s">
        <v>96</v>
      </c>
      <c r="H47" s="2" t="str">
        <f t="shared" si="0"/>
        <v>August</v>
      </c>
      <c r="I47" s="7">
        <v>45146.422523148147</v>
      </c>
      <c r="J47" s="2" t="b">
        <v>0</v>
      </c>
      <c r="K47" s="2" t="b">
        <v>1</v>
      </c>
      <c r="L47" s="2" t="s">
        <v>16</v>
      </c>
      <c r="M47" s="2" t="s">
        <v>69</v>
      </c>
      <c r="N47" s="2">
        <v>102500</v>
      </c>
      <c r="O47" s="2"/>
      <c r="P47" s="2" t="s">
        <v>238</v>
      </c>
      <c r="Q47" s="2" t="s">
        <v>239</v>
      </c>
    </row>
    <row r="48" spans="1:17" x14ac:dyDescent="0.2">
      <c r="A48" s="2" t="s">
        <v>72</v>
      </c>
      <c r="B48" s="2" t="s">
        <v>240</v>
      </c>
      <c r="C48" s="2" t="s">
        <v>86</v>
      </c>
      <c r="D48" s="2" t="s">
        <v>94</v>
      </c>
      <c r="E48" s="2" t="s">
        <v>67</v>
      </c>
      <c r="F48" s="2" t="b">
        <v>0</v>
      </c>
      <c r="G48" s="2" t="s">
        <v>82</v>
      </c>
      <c r="H48" s="2" t="str">
        <f t="shared" si="0"/>
        <v>September</v>
      </c>
      <c r="I48" s="7">
        <v>45171.255173611113</v>
      </c>
      <c r="J48" s="2" t="b">
        <v>0</v>
      </c>
      <c r="K48" s="2" t="b">
        <v>1</v>
      </c>
      <c r="L48" s="2" t="s">
        <v>16</v>
      </c>
      <c r="M48" s="2" t="s">
        <v>97</v>
      </c>
      <c r="N48" s="2"/>
      <c r="O48" s="2">
        <v>38.215000150000002</v>
      </c>
      <c r="P48" s="2" t="s">
        <v>227</v>
      </c>
      <c r="Q48" s="2" t="s">
        <v>228</v>
      </c>
    </row>
    <row r="49" spans="1:17" x14ac:dyDescent="0.2">
      <c r="A49" s="2" t="s">
        <v>91</v>
      </c>
      <c r="B49" s="2" t="s">
        <v>241</v>
      </c>
      <c r="C49" s="2" t="s">
        <v>93</v>
      </c>
      <c r="D49" s="2" t="s">
        <v>118</v>
      </c>
      <c r="E49" s="2" t="s">
        <v>67</v>
      </c>
      <c r="F49" s="2" t="b">
        <v>0</v>
      </c>
      <c r="G49" s="2" t="s">
        <v>96</v>
      </c>
      <c r="H49" s="2" t="str">
        <f t="shared" si="0"/>
        <v>January</v>
      </c>
      <c r="I49" s="7">
        <v>44950.668113425927</v>
      </c>
      <c r="J49" s="2" t="b">
        <v>0</v>
      </c>
      <c r="K49" s="2" t="b">
        <v>1</v>
      </c>
      <c r="L49" s="2" t="s">
        <v>16</v>
      </c>
      <c r="M49" s="2" t="s">
        <v>69</v>
      </c>
      <c r="N49" s="2">
        <v>115000</v>
      </c>
      <c r="O49" s="2"/>
      <c r="P49" s="2" t="s">
        <v>242</v>
      </c>
      <c r="Q49" s="2" t="s">
        <v>243</v>
      </c>
    </row>
    <row r="50" spans="1:17" x14ac:dyDescent="0.2">
      <c r="A50" s="2" t="s">
        <v>91</v>
      </c>
      <c r="B50" s="2" t="s">
        <v>244</v>
      </c>
      <c r="C50" s="2" t="s">
        <v>245</v>
      </c>
      <c r="D50" s="2" t="s">
        <v>215</v>
      </c>
      <c r="E50" s="2" t="s">
        <v>67</v>
      </c>
      <c r="F50" s="2" t="b">
        <v>0</v>
      </c>
      <c r="G50" s="2" t="s">
        <v>88</v>
      </c>
      <c r="H50" s="2" t="str">
        <f t="shared" si="0"/>
        <v>September</v>
      </c>
      <c r="I50" s="7">
        <v>45198.836527777778</v>
      </c>
      <c r="J50" s="2" t="b">
        <v>0</v>
      </c>
      <c r="K50" s="2" t="b">
        <v>0</v>
      </c>
      <c r="L50" s="2" t="s">
        <v>16</v>
      </c>
      <c r="M50" s="2" t="s">
        <v>69</v>
      </c>
      <c r="N50" s="2">
        <v>80000</v>
      </c>
      <c r="O50" s="2"/>
      <c r="P50" s="2" t="s">
        <v>246</v>
      </c>
      <c r="Q50" s="2"/>
    </row>
    <row r="51" spans="1:17" x14ac:dyDescent="0.2">
      <c r="A51" s="2" t="s">
        <v>72</v>
      </c>
      <c r="B51" s="2" t="s">
        <v>72</v>
      </c>
      <c r="C51" s="2" t="s">
        <v>247</v>
      </c>
      <c r="D51" s="2" t="s">
        <v>118</v>
      </c>
      <c r="E51" s="2" t="s">
        <v>139</v>
      </c>
      <c r="F51" s="2" t="b">
        <v>0</v>
      </c>
      <c r="G51" s="2" t="s">
        <v>96</v>
      </c>
      <c r="H51" s="2" t="str">
        <f t="shared" si="0"/>
        <v>May</v>
      </c>
      <c r="I51" s="7">
        <v>45048.841215277775</v>
      </c>
      <c r="J51" s="2" t="b">
        <v>0</v>
      </c>
      <c r="K51" s="2" t="b">
        <v>1</v>
      </c>
      <c r="L51" s="2" t="s">
        <v>16</v>
      </c>
      <c r="M51" s="2" t="s">
        <v>97</v>
      </c>
      <c r="N51" s="2"/>
      <c r="O51" s="2">
        <v>42.5</v>
      </c>
      <c r="P51" s="2" t="s">
        <v>248</v>
      </c>
      <c r="Q51" s="2" t="s">
        <v>249</v>
      </c>
    </row>
    <row r="52" spans="1:17" x14ac:dyDescent="0.2">
      <c r="A52" s="2" t="s">
        <v>79</v>
      </c>
      <c r="B52" s="2" t="s">
        <v>250</v>
      </c>
      <c r="C52" s="2" t="s">
        <v>251</v>
      </c>
      <c r="D52" s="2" t="s">
        <v>66</v>
      </c>
      <c r="E52" s="2" t="s">
        <v>67</v>
      </c>
      <c r="F52" s="2" t="b">
        <v>0</v>
      </c>
      <c r="G52" s="2" t="s">
        <v>82</v>
      </c>
      <c r="H52" s="2" t="str">
        <f t="shared" si="0"/>
        <v>January</v>
      </c>
      <c r="I52" s="7">
        <v>44930.417141203703</v>
      </c>
      <c r="J52" s="2" t="b">
        <v>0</v>
      </c>
      <c r="K52" s="2" t="b">
        <v>1</v>
      </c>
      <c r="L52" s="2" t="s">
        <v>16</v>
      </c>
      <c r="M52" s="2" t="s">
        <v>69</v>
      </c>
      <c r="N52" s="2">
        <v>96500</v>
      </c>
      <c r="O52" s="2"/>
      <c r="P52" s="2" t="s">
        <v>70</v>
      </c>
      <c r="Q52" s="2" t="s">
        <v>252</v>
      </c>
    </row>
    <row r="53" spans="1:17" x14ac:dyDescent="0.2">
      <c r="A53" s="2" t="s">
        <v>72</v>
      </c>
      <c r="B53" s="2" t="s">
        <v>253</v>
      </c>
      <c r="C53" s="2"/>
      <c r="D53" s="2" t="s">
        <v>118</v>
      </c>
      <c r="E53" s="2" t="s">
        <v>67</v>
      </c>
      <c r="F53" s="2" t="b">
        <v>0</v>
      </c>
      <c r="G53" s="2" t="s">
        <v>96</v>
      </c>
      <c r="H53" s="2" t="str">
        <f t="shared" si="0"/>
        <v>October</v>
      </c>
      <c r="I53" s="7">
        <v>45214.714085648149</v>
      </c>
      <c r="J53" s="2" t="b">
        <v>1</v>
      </c>
      <c r="K53" s="2" t="b">
        <v>0</v>
      </c>
      <c r="L53" s="2" t="s">
        <v>16</v>
      </c>
      <c r="M53" s="2" t="s">
        <v>69</v>
      </c>
      <c r="N53" s="2">
        <v>225000</v>
      </c>
      <c r="O53" s="2"/>
      <c r="P53" s="2" t="s">
        <v>254</v>
      </c>
      <c r="Q53" s="2" t="s">
        <v>255</v>
      </c>
    </row>
    <row r="54" spans="1:17" x14ac:dyDescent="0.2">
      <c r="A54" s="2" t="s">
        <v>135</v>
      </c>
      <c r="B54" s="2" t="s">
        <v>256</v>
      </c>
      <c r="C54" s="2" t="s">
        <v>104</v>
      </c>
      <c r="D54" s="2" t="s">
        <v>66</v>
      </c>
      <c r="E54" s="2" t="s">
        <v>67</v>
      </c>
      <c r="F54" s="2" t="b">
        <v>1</v>
      </c>
      <c r="G54" s="2" t="s">
        <v>76</v>
      </c>
      <c r="H54" s="2" t="str">
        <f t="shared" si="0"/>
        <v>May</v>
      </c>
      <c r="I54" s="7">
        <v>45054.902245370373</v>
      </c>
      <c r="J54" s="2" t="b">
        <v>0</v>
      </c>
      <c r="K54" s="2" t="b">
        <v>1</v>
      </c>
      <c r="L54" s="2" t="s">
        <v>16</v>
      </c>
      <c r="M54" s="2" t="s">
        <v>97</v>
      </c>
      <c r="N54" s="2"/>
      <c r="O54" s="2">
        <v>48.209999080000003</v>
      </c>
      <c r="P54" s="2" t="s">
        <v>257</v>
      </c>
      <c r="Q54" s="2" t="s">
        <v>258</v>
      </c>
    </row>
    <row r="55" spans="1:17" x14ac:dyDescent="0.2">
      <c r="A55" s="2" t="s">
        <v>91</v>
      </c>
      <c r="B55" s="2" t="s">
        <v>259</v>
      </c>
      <c r="C55" s="2" t="s">
        <v>245</v>
      </c>
      <c r="D55" s="2" t="s">
        <v>118</v>
      </c>
      <c r="E55" s="2" t="s">
        <v>67</v>
      </c>
      <c r="F55" s="2" t="b">
        <v>0</v>
      </c>
      <c r="G55" s="2" t="s">
        <v>76</v>
      </c>
      <c r="H55" s="2" t="str">
        <f t="shared" si="0"/>
        <v>March</v>
      </c>
      <c r="I55" s="7">
        <v>44999.782222222224</v>
      </c>
      <c r="J55" s="2" t="b">
        <v>0</v>
      </c>
      <c r="K55" s="2" t="b">
        <v>0</v>
      </c>
      <c r="L55" s="2" t="s">
        <v>16</v>
      </c>
      <c r="M55" s="2" t="s">
        <v>69</v>
      </c>
      <c r="N55" s="2">
        <v>57500</v>
      </c>
      <c r="O55" s="2"/>
      <c r="P55" s="2" t="s">
        <v>260</v>
      </c>
      <c r="Q55" s="2" t="s">
        <v>261</v>
      </c>
    </row>
    <row r="56" spans="1:17" x14ac:dyDescent="0.2">
      <c r="A56" s="2" t="s">
        <v>135</v>
      </c>
      <c r="B56" s="2" t="s">
        <v>262</v>
      </c>
      <c r="C56" s="2" t="s">
        <v>263</v>
      </c>
      <c r="D56" s="2" t="s">
        <v>264</v>
      </c>
      <c r="E56" s="2" t="s">
        <v>265</v>
      </c>
      <c r="F56" s="2" t="b">
        <v>0</v>
      </c>
      <c r="G56" s="2" t="s">
        <v>27</v>
      </c>
      <c r="H56" s="2" t="str">
        <f t="shared" si="0"/>
        <v>September</v>
      </c>
      <c r="I56" s="7">
        <v>45173.427986111114</v>
      </c>
      <c r="J56" s="2" t="b">
        <v>0</v>
      </c>
      <c r="K56" s="2" t="b">
        <v>0</v>
      </c>
      <c r="L56" s="2" t="s">
        <v>27</v>
      </c>
      <c r="M56" s="2" t="s">
        <v>97</v>
      </c>
      <c r="N56" s="2"/>
      <c r="O56" s="2">
        <v>20</v>
      </c>
      <c r="P56" s="2" t="s">
        <v>266</v>
      </c>
      <c r="Q56" s="2" t="s">
        <v>267</v>
      </c>
    </row>
    <row r="57" spans="1:17" x14ac:dyDescent="0.2">
      <c r="A57" s="2" t="s">
        <v>63</v>
      </c>
      <c r="B57" s="2" t="s">
        <v>268</v>
      </c>
      <c r="C57" s="2" t="s">
        <v>100</v>
      </c>
      <c r="D57" s="2" t="s">
        <v>94</v>
      </c>
      <c r="E57" s="2" t="s">
        <v>95</v>
      </c>
      <c r="F57" s="2" t="b">
        <v>0</v>
      </c>
      <c r="G57" s="2" t="s">
        <v>76</v>
      </c>
      <c r="H57" s="2" t="str">
        <f t="shared" si="0"/>
        <v>November</v>
      </c>
      <c r="I57" s="7">
        <v>45232.77920138889</v>
      </c>
      <c r="J57" s="2" t="b">
        <v>0</v>
      </c>
      <c r="K57" s="2" t="b">
        <v>0</v>
      </c>
      <c r="L57" s="2" t="s">
        <v>16</v>
      </c>
      <c r="M57" s="2" t="s">
        <v>97</v>
      </c>
      <c r="N57" s="2"/>
      <c r="O57" s="2">
        <v>47.620002749999998</v>
      </c>
      <c r="P57" s="2" t="s">
        <v>101</v>
      </c>
      <c r="Q57" s="2" t="s">
        <v>269</v>
      </c>
    </row>
    <row r="58" spans="1:17" x14ac:dyDescent="0.2">
      <c r="A58" s="2" t="s">
        <v>72</v>
      </c>
      <c r="B58" s="2" t="s">
        <v>270</v>
      </c>
      <c r="C58" s="2" t="s">
        <v>271</v>
      </c>
      <c r="D58" s="2" t="s">
        <v>94</v>
      </c>
      <c r="E58" s="2" t="s">
        <v>95</v>
      </c>
      <c r="F58" s="2" t="b">
        <v>0</v>
      </c>
      <c r="G58" s="2" t="s">
        <v>96</v>
      </c>
      <c r="H58" s="2" t="str">
        <f t="shared" si="0"/>
        <v>October</v>
      </c>
      <c r="I58" s="7">
        <v>45210.755069444444</v>
      </c>
      <c r="J58" s="2" t="b">
        <v>0</v>
      </c>
      <c r="K58" s="2" t="b">
        <v>0</v>
      </c>
      <c r="L58" s="2" t="s">
        <v>16</v>
      </c>
      <c r="M58" s="2" t="s">
        <v>97</v>
      </c>
      <c r="N58" s="2"/>
      <c r="O58" s="2">
        <v>54.420001980000002</v>
      </c>
      <c r="P58" s="2" t="s">
        <v>272</v>
      </c>
      <c r="Q58" s="2" t="s">
        <v>273</v>
      </c>
    </row>
    <row r="59" spans="1:17" x14ac:dyDescent="0.2">
      <c r="A59" s="2" t="s">
        <v>107</v>
      </c>
      <c r="B59" s="2" t="s">
        <v>107</v>
      </c>
      <c r="C59" s="2" t="s">
        <v>16</v>
      </c>
      <c r="D59" s="2" t="s">
        <v>118</v>
      </c>
      <c r="E59" s="2" t="s">
        <v>67</v>
      </c>
      <c r="F59" s="2" t="b">
        <v>0</v>
      </c>
      <c r="G59" s="2" t="s">
        <v>82</v>
      </c>
      <c r="H59" s="2" t="str">
        <f t="shared" si="0"/>
        <v>October</v>
      </c>
      <c r="I59" s="7">
        <v>45211.559212962966</v>
      </c>
      <c r="J59" s="2" t="b">
        <v>1</v>
      </c>
      <c r="K59" s="2" t="b">
        <v>0</v>
      </c>
      <c r="L59" s="2" t="s">
        <v>16</v>
      </c>
      <c r="M59" s="2" t="s">
        <v>69</v>
      </c>
      <c r="N59" s="2">
        <v>160000</v>
      </c>
      <c r="O59" s="2"/>
      <c r="P59" s="2" t="s">
        <v>173</v>
      </c>
      <c r="Q59" s="2" t="s">
        <v>274</v>
      </c>
    </row>
    <row r="60" spans="1:17" x14ac:dyDescent="0.2">
      <c r="A60" s="2" t="s">
        <v>107</v>
      </c>
      <c r="B60" s="2" t="s">
        <v>107</v>
      </c>
      <c r="C60" s="2" t="s">
        <v>167</v>
      </c>
      <c r="D60" s="2" t="s">
        <v>118</v>
      </c>
      <c r="E60" s="2" t="s">
        <v>139</v>
      </c>
      <c r="F60" s="2" t="b">
        <v>0</v>
      </c>
      <c r="G60" s="2" t="s">
        <v>68</v>
      </c>
      <c r="H60" s="2" t="str">
        <f t="shared" si="0"/>
        <v>July</v>
      </c>
      <c r="I60" s="7">
        <v>45129.085162037038</v>
      </c>
      <c r="J60" s="2" t="b">
        <v>0</v>
      </c>
      <c r="K60" s="2" t="b">
        <v>1</v>
      </c>
      <c r="L60" s="2" t="s">
        <v>68</v>
      </c>
      <c r="M60" s="2" t="s">
        <v>69</v>
      </c>
      <c r="N60" s="2">
        <v>92000</v>
      </c>
      <c r="O60" s="2"/>
      <c r="P60" s="2" t="s">
        <v>275</v>
      </c>
      <c r="Q60" s="2" t="s">
        <v>276</v>
      </c>
    </row>
    <row r="61" spans="1:17" x14ac:dyDescent="0.2">
      <c r="A61" s="2" t="s">
        <v>91</v>
      </c>
      <c r="B61" s="2" t="s">
        <v>277</v>
      </c>
      <c r="C61" s="2" t="s">
        <v>203</v>
      </c>
      <c r="D61" s="2" t="s">
        <v>75</v>
      </c>
      <c r="E61" s="2" t="s">
        <v>67</v>
      </c>
      <c r="F61" s="2" t="b">
        <v>0</v>
      </c>
      <c r="G61" s="2" t="s">
        <v>82</v>
      </c>
      <c r="H61" s="2" t="str">
        <f t="shared" si="0"/>
        <v>September</v>
      </c>
      <c r="I61" s="7">
        <v>45199.335057870368</v>
      </c>
      <c r="J61" s="2" t="b">
        <v>0</v>
      </c>
      <c r="K61" s="2" t="b">
        <v>1</v>
      </c>
      <c r="L61" s="2" t="s">
        <v>16</v>
      </c>
      <c r="M61" s="2" t="s">
        <v>69</v>
      </c>
      <c r="N61" s="2">
        <v>140000</v>
      </c>
      <c r="O61" s="2"/>
      <c r="P61" s="2" t="s">
        <v>278</v>
      </c>
      <c r="Q61" s="2" t="s">
        <v>134</v>
      </c>
    </row>
    <row r="62" spans="1:17" x14ac:dyDescent="0.2">
      <c r="A62" s="2" t="s">
        <v>72</v>
      </c>
      <c r="B62" s="2" t="s">
        <v>279</v>
      </c>
      <c r="C62" s="2" t="s">
        <v>203</v>
      </c>
      <c r="D62" s="2" t="s">
        <v>280</v>
      </c>
      <c r="E62" s="2" t="s">
        <v>67</v>
      </c>
      <c r="F62" s="2" t="b">
        <v>0</v>
      </c>
      <c r="G62" s="2" t="s">
        <v>140</v>
      </c>
      <c r="H62" s="2" t="str">
        <f t="shared" si="0"/>
        <v>December</v>
      </c>
      <c r="I62" s="7">
        <v>45286.838530092595</v>
      </c>
      <c r="J62" s="2" t="b">
        <v>1</v>
      </c>
      <c r="K62" s="2" t="b">
        <v>0</v>
      </c>
      <c r="L62" s="2" t="s">
        <v>16</v>
      </c>
      <c r="M62" s="2" t="s">
        <v>69</v>
      </c>
      <c r="N62" s="2">
        <v>170000</v>
      </c>
      <c r="O62" s="2"/>
      <c r="P62" s="2" t="s">
        <v>281</v>
      </c>
      <c r="Q62" s="2" t="s">
        <v>282</v>
      </c>
    </row>
    <row r="63" spans="1:17" x14ac:dyDescent="0.2">
      <c r="A63" s="2" t="s">
        <v>91</v>
      </c>
      <c r="B63" s="2" t="s">
        <v>283</v>
      </c>
      <c r="C63" s="2" t="s">
        <v>104</v>
      </c>
      <c r="D63" s="2" t="s">
        <v>284</v>
      </c>
      <c r="E63" s="2" t="s">
        <v>285</v>
      </c>
      <c r="F63" s="2" t="b">
        <v>1</v>
      </c>
      <c r="G63" s="2" t="s">
        <v>96</v>
      </c>
      <c r="H63" s="2" t="str">
        <f t="shared" si="0"/>
        <v>December</v>
      </c>
      <c r="I63" s="7">
        <v>45267.878645833334</v>
      </c>
      <c r="J63" s="2" t="b">
        <v>0</v>
      </c>
      <c r="K63" s="2" t="b">
        <v>0</v>
      </c>
      <c r="L63" s="2" t="s">
        <v>16</v>
      </c>
      <c r="M63" s="2" t="s">
        <v>97</v>
      </c>
      <c r="N63" s="2"/>
      <c r="O63" s="2">
        <v>31.5</v>
      </c>
      <c r="P63" s="2" t="s">
        <v>286</v>
      </c>
      <c r="Q63" s="2"/>
    </row>
    <row r="64" spans="1:17" x14ac:dyDescent="0.2">
      <c r="A64" s="2" t="s">
        <v>63</v>
      </c>
      <c r="B64" s="2" t="s">
        <v>287</v>
      </c>
      <c r="C64" s="2" t="s">
        <v>288</v>
      </c>
      <c r="D64" s="2" t="s">
        <v>237</v>
      </c>
      <c r="E64" s="2" t="s">
        <v>67</v>
      </c>
      <c r="F64" s="2" t="b">
        <v>0</v>
      </c>
      <c r="G64" s="2" t="s">
        <v>68</v>
      </c>
      <c r="H64" s="2" t="str">
        <f t="shared" si="0"/>
        <v>August</v>
      </c>
      <c r="I64" s="7">
        <v>45143.861435185187</v>
      </c>
      <c r="J64" s="2" t="b">
        <v>0</v>
      </c>
      <c r="K64" s="2" t="b">
        <v>1</v>
      </c>
      <c r="L64" s="2" t="s">
        <v>68</v>
      </c>
      <c r="M64" s="2" t="s">
        <v>69</v>
      </c>
      <c r="N64" s="2">
        <v>100000</v>
      </c>
      <c r="O64" s="2"/>
      <c r="P64" s="2" t="s">
        <v>289</v>
      </c>
      <c r="Q64" s="2" t="s">
        <v>290</v>
      </c>
    </row>
    <row r="65" spans="1:17" x14ac:dyDescent="0.2">
      <c r="A65" s="2" t="s">
        <v>231</v>
      </c>
      <c r="B65" s="2" t="s">
        <v>291</v>
      </c>
      <c r="C65" s="2" t="s">
        <v>292</v>
      </c>
      <c r="D65" s="2" t="s">
        <v>66</v>
      </c>
      <c r="E65" s="2" t="s">
        <v>139</v>
      </c>
      <c r="F65" s="2" t="b">
        <v>0</v>
      </c>
      <c r="G65" s="2" t="s">
        <v>68</v>
      </c>
      <c r="H65" s="2" t="str">
        <f t="shared" si="0"/>
        <v>October</v>
      </c>
      <c r="I65" s="7">
        <v>45212.177928240744</v>
      </c>
      <c r="J65" s="2" t="b">
        <v>1</v>
      </c>
      <c r="K65" s="2" t="b">
        <v>0</v>
      </c>
      <c r="L65" s="2" t="s">
        <v>68</v>
      </c>
      <c r="M65" s="2" t="s">
        <v>97</v>
      </c>
      <c r="N65" s="2"/>
      <c r="O65" s="2">
        <v>65</v>
      </c>
      <c r="P65" s="2" t="s">
        <v>293</v>
      </c>
      <c r="Q65" s="2" t="s">
        <v>294</v>
      </c>
    </row>
    <row r="66" spans="1:17" x14ac:dyDescent="0.2">
      <c r="A66" s="2" t="s">
        <v>107</v>
      </c>
      <c r="B66" s="2" t="s">
        <v>295</v>
      </c>
      <c r="C66" s="2" t="s">
        <v>296</v>
      </c>
      <c r="D66" s="2" t="s">
        <v>297</v>
      </c>
      <c r="E66" s="2" t="s">
        <v>139</v>
      </c>
      <c r="F66" s="2" t="b">
        <v>0</v>
      </c>
      <c r="G66" s="2" t="s">
        <v>68</v>
      </c>
      <c r="H66" s="2" t="str">
        <f t="shared" si="0"/>
        <v>May</v>
      </c>
      <c r="I66" s="7">
        <v>45052.50886574074</v>
      </c>
      <c r="J66" s="2" t="b">
        <v>1</v>
      </c>
      <c r="K66" s="2" t="b">
        <v>0</v>
      </c>
      <c r="L66" s="2" t="s">
        <v>68</v>
      </c>
      <c r="M66" s="2" t="s">
        <v>97</v>
      </c>
      <c r="N66" s="2"/>
      <c r="O66" s="2">
        <v>65</v>
      </c>
      <c r="P66" s="2" t="s">
        <v>298</v>
      </c>
      <c r="Q66" s="2" t="s">
        <v>299</v>
      </c>
    </row>
    <row r="67" spans="1:17" x14ac:dyDescent="0.2">
      <c r="A67" s="2" t="s">
        <v>72</v>
      </c>
      <c r="B67" s="2" t="s">
        <v>300</v>
      </c>
      <c r="C67" s="2" t="s">
        <v>301</v>
      </c>
      <c r="D67" s="2" t="s">
        <v>87</v>
      </c>
      <c r="E67" s="2" t="s">
        <v>67</v>
      </c>
      <c r="F67" s="2" t="b">
        <v>0</v>
      </c>
      <c r="G67" s="2" t="s">
        <v>302</v>
      </c>
      <c r="H67" s="2" t="str">
        <f t="shared" ref="H67:H130" si="1">TEXT(I67,"mmmm")</f>
        <v>June</v>
      </c>
      <c r="I67" s="7">
        <v>45092.623912037037</v>
      </c>
      <c r="J67" s="2" t="b">
        <v>0</v>
      </c>
      <c r="K67" s="2" t="b">
        <v>0</v>
      </c>
      <c r="L67" s="2" t="s">
        <v>302</v>
      </c>
      <c r="M67" s="2" t="s">
        <v>69</v>
      </c>
      <c r="N67" s="2">
        <v>134241</v>
      </c>
      <c r="O67" s="2"/>
      <c r="P67" s="2" t="s">
        <v>303</v>
      </c>
      <c r="Q67" s="2" t="s">
        <v>149</v>
      </c>
    </row>
    <row r="68" spans="1:17" x14ac:dyDescent="0.2">
      <c r="A68" s="2" t="s">
        <v>72</v>
      </c>
      <c r="B68" s="2" t="s">
        <v>304</v>
      </c>
      <c r="C68" s="2" t="s">
        <v>305</v>
      </c>
      <c r="D68" s="2" t="s">
        <v>66</v>
      </c>
      <c r="E68" s="2" t="s">
        <v>139</v>
      </c>
      <c r="F68" s="2" t="b">
        <v>0</v>
      </c>
      <c r="G68" s="2" t="s">
        <v>82</v>
      </c>
      <c r="H68" s="2" t="str">
        <f t="shared" si="1"/>
        <v>July</v>
      </c>
      <c r="I68" s="7">
        <v>45133.754618055558</v>
      </c>
      <c r="J68" s="2" t="b">
        <v>0</v>
      </c>
      <c r="K68" s="2" t="b">
        <v>0</v>
      </c>
      <c r="L68" s="2" t="s">
        <v>16</v>
      </c>
      <c r="M68" s="2" t="s">
        <v>97</v>
      </c>
      <c r="N68" s="2"/>
      <c r="O68" s="2">
        <v>70</v>
      </c>
      <c r="P68" s="2" t="s">
        <v>306</v>
      </c>
      <c r="Q68" s="2" t="s">
        <v>307</v>
      </c>
    </row>
    <row r="69" spans="1:17" x14ac:dyDescent="0.2">
      <c r="A69" s="2" t="s">
        <v>91</v>
      </c>
      <c r="B69" s="2" t="s">
        <v>91</v>
      </c>
      <c r="C69" s="2" t="s">
        <v>308</v>
      </c>
      <c r="D69" s="2" t="s">
        <v>75</v>
      </c>
      <c r="E69" s="2" t="s">
        <v>67</v>
      </c>
      <c r="F69" s="2" t="b">
        <v>0</v>
      </c>
      <c r="G69" s="2" t="s">
        <v>96</v>
      </c>
      <c r="H69" s="2" t="str">
        <f t="shared" si="1"/>
        <v>August</v>
      </c>
      <c r="I69" s="7">
        <v>45168.753576388888</v>
      </c>
      <c r="J69" s="2" t="b">
        <v>0</v>
      </c>
      <c r="K69" s="2" t="b">
        <v>0</v>
      </c>
      <c r="L69" s="2" t="s">
        <v>16</v>
      </c>
      <c r="M69" s="2" t="s">
        <v>97</v>
      </c>
      <c r="N69" s="2"/>
      <c r="O69" s="2">
        <v>57.5</v>
      </c>
      <c r="P69" s="2" t="s">
        <v>309</v>
      </c>
      <c r="Q69" s="2" t="s">
        <v>90</v>
      </c>
    </row>
    <row r="70" spans="1:17" x14ac:dyDescent="0.2">
      <c r="A70" s="2" t="s">
        <v>107</v>
      </c>
      <c r="B70" s="2" t="s">
        <v>154</v>
      </c>
      <c r="C70" s="2" t="s">
        <v>310</v>
      </c>
      <c r="D70" s="2" t="s">
        <v>156</v>
      </c>
      <c r="E70" s="2" t="s">
        <v>95</v>
      </c>
      <c r="F70" s="2" t="b">
        <v>0</v>
      </c>
      <c r="G70" s="2" t="s">
        <v>82</v>
      </c>
      <c r="H70" s="2" t="str">
        <f t="shared" si="1"/>
        <v>November</v>
      </c>
      <c r="I70" s="7">
        <v>45250.378645833334</v>
      </c>
      <c r="J70" s="2" t="b">
        <v>0</v>
      </c>
      <c r="K70" s="2" t="b">
        <v>1</v>
      </c>
      <c r="L70" s="2" t="s">
        <v>16</v>
      </c>
      <c r="M70" s="2" t="s">
        <v>69</v>
      </c>
      <c r="N70" s="2">
        <v>173500</v>
      </c>
      <c r="O70" s="2"/>
      <c r="P70" s="2" t="s">
        <v>157</v>
      </c>
      <c r="Q70" s="2" t="s">
        <v>158</v>
      </c>
    </row>
    <row r="71" spans="1:17" x14ac:dyDescent="0.2">
      <c r="A71" s="2" t="s">
        <v>72</v>
      </c>
      <c r="B71" s="2" t="s">
        <v>72</v>
      </c>
      <c r="C71" s="2" t="s">
        <v>311</v>
      </c>
      <c r="D71" s="2" t="s">
        <v>118</v>
      </c>
      <c r="E71" s="2" t="s">
        <v>67</v>
      </c>
      <c r="F71" s="2" t="b">
        <v>0</v>
      </c>
      <c r="G71" s="2" t="s">
        <v>68</v>
      </c>
      <c r="H71" s="2" t="str">
        <f t="shared" si="1"/>
        <v>October</v>
      </c>
      <c r="I71" s="7">
        <v>45227.439050925925</v>
      </c>
      <c r="J71" s="2" t="b">
        <v>1</v>
      </c>
      <c r="K71" s="2" t="b">
        <v>1</v>
      </c>
      <c r="L71" s="2" t="s">
        <v>68</v>
      </c>
      <c r="M71" s="2" t="s">
        <v>69</v>
      </c>
      <c r="N71" s="2">
        <v>112500</v>
      </c>
      <c r="O71" s="2"/>
      <c r="P71" s="2" t="s">
        <v>312</v>
      </c>
      <c r="Q71" s="2" t="s">
        <v>313</v>
      </c>
    </row>
    <row r="72" spans="1:17" x14ac:dyDescent="0.2">
      <c r="A72" s="2" t="s">
        <v>72</v>
      </c>
      <c r="B72" s="2" t="s">
        <v>314</v>
      </c>
      <c r="C72" s="2" t="s">
        <v>315</v>
      </c>
      <c r="D72" s="2" t="s">
        <v>94</v>
      </c>
      <c r="E72" s="2" t="s">
        <v>95</v>
      </c>
      <c r="F72" s="2" t="b">
        <v>0</v>
      </c>
      <c r="G72" s="2" t="s">
        <v>96</v>
      </c>
      <c r="H72" s="2" t="str">
        <f t="shared" si="1"/>
        <v>October</v>
      </c>
      <c r="I72" s="7">
        <v>45208.130266203705</v>
      </c>
      <c r="J72" s="2" t="b">
        <v>0</v>
      </c>
      <c r="K72" s="2" t="b">
        <v>1</v>
      </c>
      <c r="L72" s="2" t="s">
        <v>16</v>
      </c>
      <c r="M72" s="2" t="s">
        <v>97</v>
      </c>
      <c r="N72" s="2"/>
      <c r="O72" s="2">
        <v>51.489997860000003</v>
      </c>
      <c r="P72" s="2" t="s">
        <v>157</v>
      </c>
      <c r="Q72" s="2" t="s">
        <v>316</v>
      </c>
    </row>
    <row r="73" spans="1:17" x14ac:dyDescent="0.2">
      <c r="A73" s="2" t="s">
        <v>135</v>
      </c>
      <c r="B73" s="2" t="s">
        <v>317</v>
      </c>
      <c r="C73" s="2" t="s">
        <v>318</v>
      </c>
      <c r="D73" s="2" t="s">
        <v>66</v>
      </c>
      <c r="E73" s="2" t="s">
        <v>67</v>
      </c>
      <c r="F73" s="2" t="b">
        <v>0</v>
      </c>
      <c r="G73" s="2" t="s">
        <v>140</v>
      </c>
      <c r="H73" s="2" t="str">
        <f t="shared" si="1"/>
        <v>July</v>
      </c>
      <c r="I73" s="7">
        <v>45117.793287037035</v>
      </c>
      <c r="J73" s="2" t="b">
        <v>1</v>
      </c>
      <c r="K73" s="2" t="b">
        <v>0</v>
      </c>
      <c r="L73" s="2" t="s">
        <v>16</v>
      </c>
      <c r="M73" s="2" t="s">
        <v>97</v>
      </c>
      <c r="N73" s="2"/>
      <c r="O73" s="2">
        <v>18.5</v>
      </c>
      <c r="P73" s="2" t="s">
        <v>319</v>
      </c>
      <c r="Q73" s="2" t="s">
        <v>320</v>
      </c>
    </row>
    <row r="74" spans="1:17" x14ac:dyDescent="0.2">
      <c r="A74" s="2" t="s">
        <v>72</v>
      </c>
      <c r="B74" s="2" t="s">
        <v>321</v>
      </c>
      <c r="C74" s="2" t="s">
        <v>322</v>
      </c>
      <c r="D74" s="2" t="s">
        <v>87</v>
      </c>
      <c r="E74" s="2" t="s">
        <v>67</v>
      </c>
      <c r="F74" s="2" t="b">
        <v>0</v>
      </c>
      <c r="G74" s="2" t="s">
        <v>323</v>
      </c>
      <c r="H74" s="2" t="str">
        <f t="shared" si="1"/>
        <v>January</v>
      </c>
      <c r="I74" s="7">
        <v>44938.864351851851</v>
      </c>
      <c r="J74" s="2" t="b">
        <v>0</v>
      </c>
      <c r="K74" s="2" t="b">
        <v>0</v>
      </c>
      <c r="L74" s="2" t="s">
        <v>323</v>
      </c>
      <c r="M74" s="2" t="s">
        <v>69</v>
      </c>
      <c r="N74" s="2">
        <v>98301.5</v>
      </c>
      <c r="O74" s="2"/>
      <c r="P74" s="2" t="s">
        <v>324</v>
      </c>
      <c r="Q74" s="2" t="s">
        <v>325</v>
      </c>
    </row>
    <row r="75" spans="1:17" x14ac:dyDescent="0.2">
      <c r="A75" s="2" t="s">
        <v>72</v>
      </c>
      <c r="B75" s="2" t="s">
        <v>326</v>
      </c>
      <c r="C75" s="2" t="s">
        <v>327</v>
      </c>
      <c r="D75" s="2" t="s">
        <v>66</v>
      </c>
      <c r="E75" s="2"/>
      <c r="F75" s="2" t="b">
        <v>0</v>
      </c>
      <c r="G75" s="2" t="s">
        <v>76</v>
      </c>
      <c r="H75" s="2" t="str">
        <f t="shared" si="1"/>
        <v>August</v>
      </c>
      <c r="I75" s="7">
        <v>45164.667951388888</v>
      </c>
      <c r="J75" s="2" t="b">
        <v>0</v>
      </c>
      <c r="K75" s="2" t="b">
        <v>0</v>
      </c>
      <c r="L75" s="2" t="s">
        <v>16</v>
      </c>
      <c r="M75" s="2" t="s">
        <v>97</v>
      </c>
      <c r="N75" s="2"/>
      <c r="O75" s="2">
        <v>74.824996949999999</v>
      </c>
      <c r="P75" s="2" t="s">
        <v>328</v>
      </c>
      <c r="Q75" s="2" t="s">
        <v>329</v>
      </c>
    </row>
    <row r="76" spans="1:17" x14ac:dyDescent="0.2">
      <c r="A76" s="2" t="s">
        <v>72</v>
      </c>
      <c r="B76" s="2" t="s">
        <v>330</v>
      </c>
      <c r="C76" s="2" t="s">
        <v>104</v>
      </c>
      <c r="D76" s="2" t="s">
        <v>118</v>
      </c>
      <c r="E76" s="2" t="s">
        <v>139</v>
      </c>
      <c r="F76" s="2" t="b">
        <v>1</v>
      </c>
      <c r="G76" s="2" t="s">
        <v>113</v>
      </c>
      <c r="H76" s="2" t="str">
        <f t="shared" si="1"/>
        <v>June</v>
      </c>
      <c r="I76" s="7">
        <v>45089.726481481484</v>
      </c>
      <c r="J76" s="2" t="b">
        <v>0</v>
      </c>
      <c r="K76" s="2" t="b">
        <v>0</v>
      </c>
      <c r="L76" s="2" t="s">
        <v>16</v>
      </c>
      <c r="M76" s="2" t="s">
        <v>97</v>
      </c>
      <c r="N76" s="2"/>
      <c r="O76" s="2">
        <v>55</v>
      </c>
      <c r="P76" s="2" t="s">
        <v>331</v>
      </c>
      <c r="Q76" s="2" t="s">
        <v>332</v>
      </c>
    </row>
    <row r="77" spans="1:17" x14ac:dyDescent="0.2">
      <c r="A77" s="2" t="s">
        <v>91</v>
      </c>
      <c r="B77" s="2" t="s">
        <v>91</v>
      </c>
      <c r="C77" s="2" t="s">
        <v>333</v>
      </c>
      <c r="D77" s="2" t="s">
        <v>75</v>
      </c>
      <c r="E77" s="2" t="s">
        <v>67</v>
      </c>
      <c r="F77" s="2" t="b">
        <v>0</v>
      </c>
      <c r="G77" s="2" t="s">
        <v>113</v>
      </c>
      <c r="H77" s="2" t="str">
        <f t="shared" si="1"/>
        <v>September</v>
      </c>
      <c r="I77" s="7">
        <v>45181.837222222224</v>
      </c>
      <c r="J77" s="2" t="b">
        <v>0</v>
      </c>
      <c r="K77" s="2" t="b">
        <v>0</v>
      </c>
      <c r="L77" s="2" t="s">
        <v>16</v>
      </c>
      <c r="M77" s="2" t="s">
        <v>69</v>
      </c>
      <c r="N77" s="2">
        <v>85000</v>
      </c>
      <c r="O77" s="2"/>
      <c r="P77" s="2" t="s">
        <v>334</v>
      </c>
      <c r="Q77" s="2" t="s">
        <v>335</v>
      </c>
    </row>
    <row r="78" spans="1:17" x14ac:dyDescent="0.2">
      <c r="A78" s="2" t="s">
        <v>91</v>
      </c>
      <c r="B78" s="2" t="s">
        <v>336</v>
      </c>
      <c r="C78" s="2" t="s">
        <v>337</v>
      </c>
      <c r="D78" s="2" t="s">
        <v>147</v>
      </c>
      <c r="E78" s="2" t="s">
        <v>67</v>
      </c>
      <c r="F78" s="2" t="b">
        <v>0</v>
      </c>
      <c r="G78" s="2" t="s">
        <v>76</v>
      </c>
      <c r="H78" s="2" t="str">
        <f t="shared" si="1"/>
        <v>June</v>
      </c>
      <c r="I78" s="7">
        <v>45103.49763888889</v>
      </c>
      <c r="J78" s="2" t="b">
        <v>0</v>
      </c>
      <c r="K78" s="2" t="b">
        <v>0</v>
      </c>
      <c r="L78" s="2" t="s">
        <v>16</v>
      </c>
      <c r="M78" s="2" t="s">
        <v>69</v>
      </c>
      <c r="N78" s="2">
        <v>90000</v>
      </c>
      <c r="O78" s="2"/>
      <c r="P78" s="2" t="s">
        <v>338</v>
      </c>
      <c r="Q78" s="2" t="s">
        <v>339</v>
      </c>
    </row>
    <row r="79" spans="1:17" x14ac:dyDescent="0.2">
      <c r="A79" s="2" t="s">
        <v>107</v>
      </c>
      <c r="B79" s="2" t="s">
        <v>340</v>
      </c>
      <c r="C79" s="2" t="s">
        <v>341</v>
      </c>
      <c r="D79" s="2" t="s">
        <v>94</v>
      </c>
      <c r="E79" s="2" t="s">
        <v>67</v>
      </c>
      <c r="F79" s="2" t="b">
        <v>0</v>
      </c>
      <c r="G79" s="2" t="s">
        <v>76</v>
      </c>
      <c r="H79" s="2" t="str">
        <f t="shared" si="1"/>
        <v>September</v>
      </c>
      <c r="I79" s="7">
        <v>45173.107719907406</v>
      </c>
      <c r="J79" s="2" t="b">
        <v>0</v>
      </c>
      <c r="K79" s="2" t="b">
        <v>1</v>
      </c>
      <c r="L79" s="2" t="s">
        <v>16</v>
      </c>
      <c r="M79" s="2" t="s">
        <v>97</v>
      </c>
      <c r="N79" s="2"/>
      <c r="O79" s="2">
        <v>58.680000309999997</v>
      </c>
      <c r="P79" s="2" t="s">
        <v>157</v>
      </c>
      <c r="Q79" s="2" t="s">
        <v>342</v>
      </c>
    </row>
    <row r="80" spans="1:17" x14ac:dyDescent="0.2">
      <c r="A80" s="2" t="s">
        <v>63</v>
      </c>
      <c r="B80" s="2" t="s">
        <v>63</v>
      </c>
      <c r="C80" s="2" t="s">
        <v>343</v>
      </c>
      <c r="D80" s="2" t="s">
        <v>66</v>
      </c>
      <c r="E80" s="2" t="s">
        <v>67</v>
      </c>
      <c r="F80" s="2" t="b">
        <v>0</v>
      </c>
      <c r="G80" s="2" t="s">
        <v>113</v>
      </c>
      <c r="H80" s="2" t="str">
        <f t="shared" si="1"/>
        <v>January</v>
      </c>
      <c r="I80" s="7">
        <v>44955.420046296298</v>
      </c>
      <c r="J80" s="2" t="b">
        <v>0</v>
      </c>
      <c r="K80" s="2" t="b">
        <v>1</v>
      </c>
      <c r="L80" s="2" t="s">
        <v>16</v>
      </c>
      <c r="M80" s="2" t="s">
        <v>69</v>
      </c>
      <c r="N80" s="2">
        <v>116700</v>
      </c>
      <c r="O80" s="2"/>
      <c r="P80" s="2" t="s">
        <v>70</v>
      </c>
      <c r="Q80" s="2" t="s">
        <v>344</v>
      </c>
    </row>
    <row r="81" spans="1:17" x14ac:dyDescent="0.2">
      <c r="A81" s="2" t="s">
        <v>72</v>
      </c>
      <c r="B81" s="2" t="s">
        <v>72</v>
      </c>
      <c r="C81" s="2" t="s">
        <v>104</v>
      </c>
      <c r="D81" s="2" t="s">
        <v>75</v>
      </c>
      <c r="E81" s="2" t="s">
        <v>139</v>
      </c>
      <c r="F81" s="2" t="b">
        <v>1</v>
      </c>
      <c r="G81" s="2" t="s">
        <v>113</v>
      </c>
      <c r="H81" s="2" t="str">
        <f t="shared" si="1"/>
        <v>May</v>
      </c>
      <c r="I81" s="7">
        <v>45070.754131944443</v>
      </c>
      <c r="J81" s="2" t="b">
        <v>1</v>
      </c>
      <c r="K81" s="2" t="b">
        <v>0</v>
      </c>
      <c r="L81" s="2" t="s">
        <v>16</v>
      </c>
      <c r="M81" s="2" t="s">
        <v>97</v>
      </c>
      <c r="N81" s="2"/>
      <c r="O81" s="2">
        <v>65</v>
      </c>
      <c r="P81" s="2" t="s">
        <v>345</v>
      </c>
      <c r="Q81" s="2" t="s">
        <v>346</v>
      </c>
    </row>
    <row r="82" spans="1:17" x14ac:dyDescent="0.2">
      <c r="A82" s="2" t="s">
        <v>72</v>
      </c>
      <c r="B82" s="2" t="s">
        <v>347</v>
      </c>
      <c r="C82" s="2" t="s">
        <v>348</v>
      </c>
      <c r="D82" s="2" t="s">
        <v>87</v>
      </c>
      <c r="E82" s="2" t="s">
        <v>67</v>
      </c>
      <c r="F82" s="2" t="b">
        <v>0</v>
      </c>
      <c r="G82" s="2" t="s">
        <v>323</v>
      </c>
      <c r="H82" s="2" t="str">
        <f t="shared" si="1"/>
        <v>November</v>
      </c>
      <c r="I82" s="7">
        <v>45231.799201388887</v>
      </c>
      <c r="J82" s="2" t="b">
        <v>0</v>
      </c>
      <c r="K82" s="2" t="b">
        <v>0</v>
      </c>
      <c r="L82" s="2" t="s">
        <v>323</v>
      </c>
      <c r="M82" s="2" t="s">
        <v>69</v>
      </c>
      <c r="N82" s="2">
        <v>163500</v>
      </c>
      <c r="O82" s="2"/>
      <c r="P82" s="2" t="s">
        <v>349</v>
      </c>
      <c r="Q82" s="2" t="s">
        <v>350</v>
      </c>
    </row>
    <row r="83" spans="1:17" x14ac:dyDescent="0.2">
      <c r="A83" s="2" t="s">
        <v>135</v>
      </c>
      <c r="B83" s="2" t="s">
        <v>135</v>
      </c>
      <c r="C83" s="2" t="s">
        <v>351</v>
      </c>
      <c r="D83" s="2" t="s">
        <v>75</v>
      </c>
      <c r="E83" s="2" t="s">
        <v>67</v>
      </c>
      <c r="F83" s="2" t="b">
        <v>0</v>
      </c>
      <c r="G83" s="2" t="s">
        <v>76</v>
      </c>
      <c r="H83" s="2" t="str">
        <f t="shared" si="1"/>
        <v>September</v>
      </c>
      <c r="I83" s="7">
        <v>45174.792430555557</v>
      </c>
      <c r="J83" s="2" t="b">
        <v>0</v>
      </c>
      <c r="K83" s="2" t="b">
        <v>1</v>
      </c>
      <c r="L83" s="2" t="s">
        <v>16</v>
      </c>
      <c r="M83" s="2" t="s">
        <v>69</v>
      </c>
      <c r="N83" s="2">
        <v>75000</v>
      </c>
      <c r="O83" s="2"/>
      <c r="P83" s="2" t="s">
        <v>352</v>
      </c>
      <c r="Q83" s="2" t="s">
        <v>353</v>
      </c>
    </row>
    <row r="84" spans="1:17" x14ac:dyDescent="0.2">
      <c r="A84" s="2" t="s">
        <v>354</v>
      </c>
      <c r="B84" s="2" t="s">
        <v>354</v>
      </c>
      <c r="C84" s="2" t="s">
        <v>104</v>
      </c>
      <c r="D84" s="2" t="s">
        <v>66</v>
      </c>
      <c r="E84" s="2" t="s">
        <v>67</v>
      </c>
      <c r="F84" s="2" t="b">
        <v>1</v>
      </c>
      <c r="G84" s="2" t="s">
        <v>76</v>
      </c>
      <c r="H84" s="2" t="str">
        <f t="shared" si="1"/>
        <v>July</v>
      </c>
      <c r="I84" s="7">
        <v>45135.526342592595</v>
      </c>
      <c r="J84" s="2" t="b">
        <v>0</v>
      </c>
      <c r="K84" s="2" t="b">
        <v>0</v>
      </c>
      <c r="L84" s="2" t="s">
        <v>16</v>
      </c>
      <c r="M84" s="2" t="s">
        <v>97</v>
      </c>
      <c r="N84" s="2"/>
      <c r="O84" s="2">
        <v>41</v>
      </c>
      <c r="P84" s="2">
        <v>9992</v>
      </c>
      <c r="Q84" s="2" t="s">
        <v>355</v>
      </c>
    </row>
    <row r="85" spans="1:17" x14ac:dyDescent="0.2">
      <c r="A85" s="2" t="s">
        <v>91</v>
      </c>
      <c r="B85" s="2" t="s">
        <v>356</v>
      </c>
      <c r="C85" s="2" t="s">
        <v>357</v>
      </c>
      <c r="D85" s="2" t="s">
        <v>87</v>
      </c>
      <c r="E85" s="2" t="s">
        <v>67</v>
      </c>
      <c r="F85" s="2" t="b">
        <v>0</v>
      </c>
      <c r="G85" s="2" t="s">
        <v>68</v>
      </c>
      <c r="H85" s="2" t="str">
        <f t="shared" si="1"/>
        <v>March</v>
      </c>
      <c r="I85" s="7">
        <v>45014.49486111111</v>
      </c>
      <c r="J85" s="2" t="b">
        <v>0</v>
      </c>
      <c r="K85" s="2" t="b">
        <v>1</v>
      </c>
      <c r="L85" s="2" t="s">
        <v>68</v>
      </c>
      <c r="M85" s="2" t="s">
        <v>69</v>
      </c>
      <c r="N85" s="2">
        <v>69962.5</v>
      </c>
      <c r="O85" s="2"/>
      <c r="P85" s="2" t="s">
        <v>358</v>
      </c>
      <c r="Q85" s="2"/>
    </row>
    <row r="86" spans="1:17" x14ac:dyDescent="0.2">
      <c r="A86" s="2" t="s">
        <v>135</v>
      </c>
      <c r="B86" s="2" t="s">
        <v>359</v>
      </c>
      <c r="C86" s="2" t="s">
        <v>360</v>
      </c>
      <c r="D86" s="2" t="s">
        <v>118</v>
      </c>
      <c r="E86" s="2" t="s">
        <v>67</v>
      </c>
      <c r="F86" s="2" t="b">
        <v>0</v>
      </c>
      <c r="G86" s="2" t="s">
        <v>82</v>
      </c>
      <c r="H86" s="2" t="str">
        <f t="shared" si="1"/>
        <v>March</v>
      </c>
      <c r="I86" s="7">
        <v>44992.917662037034</v>
      </c>
      <c r="J86" s="2" t="b">
        <v>1</v>
      </c>
      <c r="K86" s="2" t="b">
        <v>0</v>
      </c>
      <c r="L86" s="2" t="s">
        <v>16</v>
      </c>
      <c r="M86" s="2" t="s">
        <v>97</v>
      </c>
      <c r="N86" s="2"/>
      <c r="O86" s="2">
        <v>35</v>
      </c>
      <c r="P86" s="2" t="s">
        <v>182</v>
      </c>
      <c r="Q86" s="2" t="s">
        <v>361</v>
      </c>
    </row>
    <row r="87" spans="1:17" x14ac:dyDescent="0.2">
      <c r="A87" s="2" t="s">
        <v>91</v>
      </c>
      <c r="B87" s="2" t="s">
        <v>362</v>
      </c>
      <c r="C87" s="2" t="s">
        <v>363</v>
      </c>
      <c r="D87" s="2" t="s">
        <v>94</v>
      </c>
      <c r="E87" s="2" t="s">
        <v>67</v>
      </c>
      <c r="F87" s="2" t="b">
        <v>0</v>
      </c>
      <c r="G87" s="2" t="s">
        <v>76</v>
      </c>
      <c r="H87" s="2" t="str">
        <f t="shared" si="1"/>
        <v>August</v>
      </c>
      <c r="I87" s="7">
        <v>45143.292291666665</v>
      </c>
      <c r="J87" s="2" t="b">
        <v>0</v>
      </c>
      <c r="K87" s="2" t="b">
        <v>1</v>
      </c>
      <c r="L87" s="2" t="s">
        <v>16</v>
      </c>
      <c r="M87" s="2" t="s">
        <v>97</v>
      </c>
      <c r="N87" s="2"/>
      <c r="O87" s="2">
        <v>47.620002749999998</v>
      </c>
      <c r="P87" s="2" t="s">
        <v>364</v>
      </c>
      <c r="Q87" s="2" t="s">
        <v>365</v>
      </c>
    </row>
    <row r="88" spans="1:17" x14ac:dyDescent="0.2">
      <c r="A88" s="2" t="s">
        <v>72</v>
      </c>
      <c r="B88" s="2" t="s">
        <v>366</v>
      </c>
      <c r="C88" s="2" t="s">
        <v>367</v>
      </c>
      <c r="D88" s="2" t="s">
        <v>118</v>
      </c>
      <c r="E88" s="2" t="s">
        <v>139</v>
      </c>
      <c r="F88" s="2" t="b">
        <v>0</v>
      </c>
      <c r="G88" s="2" t="s">
        <v>88</v>
      </c>
      <c r="H88" s="2" t="str">
        <f t="shared" si="1"/>
        <v>October</v>
      </c>
      <c r="I88" s="7">
        <v>45204.672233796293</v>
      </c>
      <c r="J88" s="2" t="b">
        <v>1</v>
      </c>
      <c r="K88" s="2" t="b">
        <v>1</v>
      </c>
      <c r="L88" s="2" t="s">
        <v>16</v>
      </c>
      <c r="M88" s="2" t="s">
        <v>97</v>
      </c>
      <c r="N88" s="2"/>
      <c r="O88" s="2">
        <v>47.5</v>
      </c>
      <c r="P88" s="2" t="s">
        <v>368</v>
      </c>
      <c r="Q88" s="2" t="s">
        <v>369</v>
      </c>
    </row>
    <row r="89" spans="1:17" x14ac:dyDescent="0.2">
      <c r="A89" s="2" t="s">
        <v>63</v>
      </c>
      <c r="B89" s="2" t="s">
        <v>370</v>
      </c>
      <c r="C89" s="2" t="s">
        <v>371</v>
      </c>
      <c r="D89" s="2" t="s">
        <v>94</v>
      </c>
      <c r="E89" s="2" t="s">
        <v>95</v>
      </c>
      <c r="F89" s="2" t="b">
        <v>0</v>
      </c>
      <c r="G89" s="2" t="s">
        <v>88</v>
      </c>
      <c r="H89" s="2" t="str">
        <f t="shared" si="1"/>
        <v>September</v>
      </c>
      <c r="I89" s="7">
        <v>45189.043483796297</v>
      </c>
      <c r="J89" s="2" t="b">
        <v>0</v>
      </c>
      <c r="K89" s="2" t="b">
        <v>1</v>
      </c>
      <c r="L89" s="2" t="s">
        <v>16</v>
      </c>
      <c r="M89" s="2" t="s">
        <v>97</v>
      </c>
      <c r="N89" s="2"/>
      <c r="O89" s="2">
        <v>37.854999540000001</v>
      </c>
      <c r="P89" s="2" t="s">
        <v>372</v>
      </c>
      <c r="Q89" s="2" t="s">
        <v>373</v>
      </c>
    </row>
    <row r="90" spans="1:17" x14ac:dyDescent="0.2">
      <c r="A90" s="2" t="s">
        <v>72</v>
      </c>
      <c r="B90" s="2" t="s">
        <v>374</v>
      </c>
      <c r="C90" s="2" t="s">
        <v>375</v>
      </c>
      <c r="D90" s="2" t="s">
        <v>118</v>
      </c>
      <c r="E90" s="2" t="s">
        <v>67</v>
      </c>
      <c r="F90" s="2" t="b">
        <v>0</v>
      </c>
      <c r="G90" s="2" t="s">
        <v>96</v>
      </c>
      <c r="H90" s="2" t="str">
        <f t="shared" si="1"/>
        <v>March</v>
      </c>
      <c r="I90" s="7">
        <v>45016.589803240742</v>
      </c>
      <c r="J90" s="2" t="b">
        <v>0</v>
      </c>
      <c r="K90" s="2" t="b">
        <v>1</v>
      </c>
      <c r="L90" s="2" t="s">
        <v>16</v>
      </c>
      <c r="M90" s="2" t="s">
        <v>69</v>
      </c>
      <c r="N90" s="2">
        <v>122340</v>
      </c>
      <c r="O90" s="2"/>
      <c r="P90" s="2" t="s">
        <v>376</v>
      </c>
      <c r="Q90" s="2" t="s">
        <v>377</v>
      </c>
    </row>
    <row r="91" spans="1:17" x14ac:dyDescent="0.2">
      <c r="A91" s="2" t="s">
        <v>91</v>
      </c>
      <c r="B91" s="2" t="s">
        <v>378</v>
      </c>
      <c r="C91" s="2" t="s">
        <v>86</v>
      </c>
      <c r="D91" s="2" t="s">
        <v>379</v>
      </c>
      <c r="E91" s="2" t="s">
        <v>139</v>
      </c>
      <c r="F91" s="2" t="b">
        <v>0</v>
      </c>
      <c r="G91" s="2" t="s">
        <v>88</v>
      </c>
      <c r="H91" s="2" t="str">
        <f t="shared" si="1"/>
        <v>February</v>
      </c>
      <c r="I91" s="7">
        <v>44974.004259259258</v>
      </c>
      <c r="J91" s="2" t="b">
        <v>0</v>
      </c>
      <c r="K91" s="2" t="b">
        <v>1</v>
      </c>
      <c r="L91" s="2" t="s">
        <v>16</v>
      </c>
      <c r="M91" s="2" t="s">
        <v>97</v>
      </c>
      <c r="N91" s="2"/>
      <c r="O91" s="2">
        <v>71.730003359999998</v>
      </c>
      <c r="P91" s="2" t="s">
        <v>380</v>
      </c>
      <c r="Q91" s="2" t="s">
        <v>381</v>
      </c>
    </row>
    <row r="92" spans="1:17" x14ac:dyDescent="0.2">
      <c r="A92" s="2" t="s">
        <v>107</v>
      </c>
      <c r="B92" s="2" t="s">
        <v>107</v>
      </c>
      <c r="C92" s="2" t="s">
        <v>146</v>
      </c>
      <c r="D92" s="2" t="s">
        <v>118</v>
      </c>
      <c r="E92" s="2" t="s">
        <v>67</v>
      </c>
      <c r="F92" s="2" t="b">
        <v>0</v>
      </c>
      <c r="G92" s="2" t="s">
        <v>82</v>
      </c>
      <c r="H92" s="2" t="str">
        <f t="shared" si="1"/>
        <v>April</v>
      </c>
      <c r="I92" s="7">
        <v>45034.6718287037</v>
      </c>
      <c r="J92" s="2" t="b">
        <v>0</v>
      </c>
      <c r="K92" s="2" t="b">
        <v>0</v>
      </c>
      <c r="L92" s="2" t="s">
        <v>16</v>
      </c>
      <c r="M92" s="2" t="s">
        <v>69</v>
      </c>
      <c r="N92" s="2">
        <v>160000</v>
      </c>
      <c r="O92" s="2"/>
      <c r="P92" s="2" t="s">
        <v>382</v>
      </c>
      <c r="Q92" s="2" t="s">
        <v>383</v>
      </c>
    </row>
    <row r="93" spans="1:17" x14ac:dyDescent="0.2">
      <c r="A93" s="2" t="s">
        <v>63</v>
      </c>
      <c r="B93" s="2" t="s">
        <v>384</v>
      </c>
      <c r="C93" s="2" t="s">
        <v>385</v>
      </c>
      <c r="D93" s="2" t="s">
        <v>87</v>
      </c>
      <c r="E93" s="2" t="s">
        <v>67</v>
      </c>
      <c r="F93" s="2" t="b">
        <v>0</v>
      </c>
      <c r="G93" s="2" t="s">
        <v>20</v>
      </c>
      <c r="H93" s="2" t="str">
        <f t="shared" si="1"/>
        <v>July</v>
      </c>
      <c r="I93" s="7">
        <v>45133.990312499998</v>
      </c>
      <c r="J93" s="2" t="b">
        <v>0</v>
      </c>
      <c r="K93" s="2" t="b">
        <v>0</v>
      </c>
      <c r="L93" s="2" t="s">
        <v>20</v>
      </c>
      <c r="M93" s="2" t="s">
        <v>69</v>
      </c>
      <c r="N93" s="2">
        <v>157500</v>
      </c>
      <c r="O93" s="2"/>
      <c r="P93" s="2" t="s">
        <v>386</v>
      </c>
      <c r="Q93" s="2" t="s">
        <v>149</v>
      </c>
    </row>
    <row r="94" spans="1:17" x14ac:dyDescent="0.2">
      <c r="A94" s="2" t="s">
        <v>63</v>
      </c>
      <c r="B94" s="2" t="s">
        <v>63</v>
      </c>
      <c r="C94" s="2" t="s">
        <v>292</v>
      </c>
      <c r="D94" s="2" t="s">
        <v>118</v>
      </c>
      <c r="E94" s="2" t="s">
        <v>67</v>
      </c>
      <c r="F94" s="2" t="b">
        <v>0</v>
      </c>
      <c r="G94" s="2" t="s">
        <v>82</v>
      </c>
      <c r="H94" s="2" t="str">
        <f t="shared" si="1"/>
        <v>May</v>
      </c>
      <c r="I94" s="7">
        <v>45062.876956018517</v>
      </c>
      <c r="J94" s="2" t="b">
        <v>0</v>
      </c>
      <c r="K94" s="2" t="b">
        <v>1</v>
      </c>
      <c r="L94" s="2" t="s">
        <v>16</v>
      </c>
      <c r="M94" s="2" t="s">
        <v>69</v>
      </c>
      <c r="N94" s="2">
        <v>170000</v>
      </c>
      <c r="O94" s="2"/>
      <c r="P94" s="2" t="s">
        <v>173</v>
      </c>
      <c r="Q94" s="2" t="s">
        <v>387</v>
      </c>
    </row>
    <row r="95" spans="1:17" x14ac:dyDescent="0.2">
      <c r="A95" s="2" t="s">
        <v>91</v>
      </c>
      <c r="B95" s="2" t="s">
        <v>388</v>
      </c>
      <c r="C95" s="2" t="s">
        <v>104</v>
      </c>
      <c r="D95" s="2" t="s">
        <v>284</v>
      </c>
      <c r="E95" s="2" t="s">
        <v>285</v>
      </c>
      <c r="F95" s="2" t="b">
        <v>1</v>
      </c>
      <c r="G95" s="2" t="s">
        <v>88</v>
      </c>
      <c r="H95" s="2" t="str">
        <f t="shared" si="1"/>
        <v>December</v>
      </c>
      <c r="I95" s="7">
        <v>45289.543391203704</v>
      </c>
      <c r="J95" s="2" t="b">
        <v>0</v>
      </c>
      <c r="K95" s="2" t="b">
        <v>0</v>
      </c>
      <c r="L95" s="2" t="s">
        <v>16</v>
      </c>
      <c r="M95" s="2" t="s">
        <v>97</v>
      </c>
      <c r="N95" s="2"/>
      <c r="O95" s="2">
        <v>85</v>
      </c>
      <c r="P95" s="2" t="s">
        <v>286</v>
      </c>
      <c r="Q95" s="2" t="s">
        <v>389</v>
      </c>
    </row>
    <row r="96" spans="1:17" x14ac:dyDescent="0.2">
      <c r="A96" s="2" t="s">
        <v>91</v>
      </c>
      <c r="B96" s="2" t="s">
        <v>91</v>
      </c>
      <c r="C96" s="2" t="s">
        <v>245</v>
      </c>
      <c r="D96" s="2" t="s">
        <v>75</v>
      </c>
      <c r="E96" s="2" t="s">
        <v>139</v>
      </c>
      <c r="F96" s="2" t="b">
        <v>0</v>
      </c>
      <c r="G96" s="2" t="s">
        <v>88</v>
      </c>
      <c r="H96" s="2" t="str">
        <f t="shared" si="1"/>
        <v>November</v>
      </c>
      <c r="I96" s="7">
        <v>45243.586435185185</v>
      </c>
      <c r="J96" s="2" t="b">
        <v>0</v>
      </c>
      <c r="K96" s="2" t="b">
        <v>0</v>
      </c>
      <c r="L96" s="2" t="s">
        <v>16</v>
      </c>
      <c r="M96" s="2" t="s">
        <v>97</v>
      </c>
      <c r="N96" s="2"/>
      <c r="O96" s="2">
        <v>39</v>
      </c>
      <c r="P96" s="2" t="s">
        <v>390</v>
      </c>
      <c r="Q96" s="2" t="s">
        <v>391</v>
      </c>
    </row>
    <row r="97" spans="1:17" x14ac:dyDescent="0.2">
      <c r="A97" s="2" t="s">
        <v>72</v>
      </c>
      <c r="B97" s="2" t="s">
        <v>72</v>
      </c>
      <c r="C97" s="2" t="s">
        <v>392</v>
      </c>
      <c r="D97" s="2" t="s">
        <v>75</v>
      </c>
      <c r="E97" s="2" t="s">
        <v>67</v>
      </c>
      <c r="F97" s="2" t="b">
        <v>0</v>
      </c>
      <c r="G97" s="2" t="s">
        <v>113</v>
      </c>
      <c r="H97" s="2" t="str">
        <f t="shared" si="1"/>
        <v>January</v>
      </c>
      <c r="I97" s="7">
        <v>44939.798032407409</v>
      </c>
      <c r="J97" s="2" t="b">
        <v>0</v>
      </c>
      <c r="K97" s="2" t="b">
        <v>1</v>
      </c>
      <c r="L97" s="2" t="s">
        <v>16</v>
      </c>
      <c r="M97" s="2" t="s">
        <v>69</v>
      </c>
      <c r="N97" s="2">
        <v>102500</v>
      </c>
      <c r="O97" s="2"/>
      <c r="P97" s="2" t="s">
        <v>393</v>
      </c>
      <c r="Q97" s="2" t="s">
        <v>313</v>
      </c>
    </row>
    <row r="98" spans="1:17" x14ac:dyDescent="0.2">
      <c r="A98" s="2" t="s">
        <v>91</v>
      </c>
      <c r="B98" s="2" t="s">
        <v>394</v>
      </c>
      <c r="C98" s="2" t="s">
        <v>395</v>
      </c>
      <c r="D98" s="2" t="s">
        <v>94</v>
      </c>
      <c r="E98" s="2" t="s">
        <v>95</v>
      </c>
      <c r="F98" s="2" t="b">
        <v>0</v>
      </c>
      <c r="G98" s="2" t="s">
        <v>82</v>
      </c>
      <c r="H98" s="2" t="str">
        <f t="shared" si="1"/>
        <v>December</v>
      </c>
      <c r="I98" s="7">
        <v>45270.292974537035</v>
      </c>
      <c r="J98" s="2" t="b">
        <v>0</v>
      </c>
      <c r="K98" s="2" t="b">
        <v>0</v>
      </c>
      <c r="L98" s="2" t="s">
        <v>16</v>
      </c>
      <c r="M98" s="2" t="s">
        <v>97</v>
      </c>
      <c r="N98" s="2"/>
      <c r="O98" s="2">
        <v>44.73500061</v>
      </c>
      <c r="P98" s="2" t="s">
        <v>396</v>
      </c>
      <c r="Q98" s="2"/>
    </row>
    <row r="99" spans="1:17" x14ac:dyDescent="0.2">
      <c r="A99" s="2" t="s">
        <v>63</v>
      </c>
      <c r="B99" s="2" t="s">
        <v>397</v>
      </c>
      <c r="C99" s="2" t="s">
        <v>100</v>
      </c>
      <c r="D99" s="2" t="s">
        <v>94</v>
      </c>
      <c r="E99" s="2" t="s">
        <v>95</v>
      </c>
      <c r="F99" s="2" t="b">
        <v>0</v>
      </c>
      <c r="G99" s="2" t="s">
        <v>82</v>
      </c>
      <c r="H99" s="2" t="str">
        <f t="shared" si="1"/>
        <v>September</v>
      </c>
      <c r="I99" s="7">
        <v>45197.251840277779</v>
      </c>
      <c r="J99" s="2" t="b">
        <v>0</v>
      </c>
      <c r="K99" s="2" t="b">
        <v>0</v>
      </c>
      <c r="L99" s="2" t="s">
        <v>16</v>
      </c>
      <c r="M99" s="2" t="s">
        <v>97</v>
      </c>
      <c r="N99" s="2"/>
      <c r="O99" s="2">
        <v>47.620002749999998</v>
      </c>
      <c r="P99" s="2" t="s">
        <v>101</v>
      </c>
      <c r="Q99" s="2" t="s">
        <v>269</v>
      </c>
    </row>
    <row r="100" spans="1:17" x14ac:dyDescent="0.2">
      <c r="A100" s="2" t="s">
        <v>72</v>
      </c>
      <c r="B100" s="2" t="s">
        <v>398</v>
      </c>
      <c r="C100" s="2" t="s">
        <v>399</v>
      </c>
      <c r="D100" s="2" t="s">
        <v>118</v>
      </c>
      <c r="E100" s="2" t="s">
        <v>139</v>
      </c>
      <c r="F100" s="2" t="b">
        <v>0</v>
      </c>
      <c r="G100" s="2" t="s">
        <v>76</v>
      </c>
      <c r="H100" s="2" t="str">
        <f t="shared" si="1"/>
        <v>February</v>
      </c>
      <c r="I100" s="7">
        <v>44964.90766203704</v>
      </c>
      <c r="J100" s="2" t="b">
        <v>0</v>
      </c>
      <c r="K100" s="2" t="b">
        <v>0</v>
      </c>
      <c r="L100" s="2" t="s">
        <v>16</v>
      </c>
      <c r="M100" s="2" t="s">
        <v>97</v>
      </c>
      <c r="N100" s="2"/>
      <c r="O100" s="2">
        <v>58.5</v>
      </c>
      <c r="P100" s="2" t="s">
        <v>400</v>
      </c>
      <c r="Q100" s="2" t="s">
        <v>401</v>
      </c>
    </row>
    <row r="101" spans="1:17" x14ac:dyDescent="0.2">
      <c r="A101" s="2" t="s">
        <v>231</v>
      </c>
      <c r="B101" s="2" t="s">
        <v>402</v>
      </c>
      <c r="C101" s="2" t="s">
        <v>403</v>
      </c>
      <c r="D101" s="2" t="s">
        <v>87</v>
      </c>
      <c r="E101" s="2" t="s">
        <v>67</v>
      </c>
      <c r="F101" s="2" t="b">
        <v>0</v>
      </c>
      <c r="G101" s="2" t="s">
        <v>404</v>
      </c>
      <c r="H101" s="2" t="str">
        <f t="shared" si="1"/>
        <v>June</v>
      </c>
      <c r="I101" s="7">
        <v>45094.423159722224</v>
      </c>
      <c r="J101" s="2" t="b">
        <v>0</v>
      </c>
      <c r="K101" s="2" t="b">
        <v>0</v>
      </c>
      <c r="L101" s="2" t="s">
        <v>404</v>
      </c>
      <c r="M101" s="2" t="s">
        <v>69</v>
      </c>
      <c r="N101" s="2">
        <v>50400</v>
      </c>
      <c r="O101" s="2"/>
      <c r="P101" s="2" t="s">
        <v>405</v>
      </c>
      <c r="Q101" s="2" t="s">
        <v>258</v>
      </c>
    </row>
    <row r="102" spans="1:17" x14ac:dyDescent="0.2">
      <c r="A102" s="2" t="s">
        <v>72</v>
      </c>
      <c r="B102" s="2" t="s">
        <v>406</v>
      </c>
      <c r="C102" s="2" t="s">
        <v>407</v>
      </c>
      <c r="D102" s="2" t="s">
        <v>94</v>
      </c>
      <c r="E102" s="2" t="s">
        <v>67</v>
      </c>
      <c r="F102" s="2" t="b">
        <v>0</v>
      </c>
      <c r="G102" s="2" t="s">
        <v>140</v>
      </c>
      <c r="H102" s="2" t="str">
        <f t="shared" si="1"/>
        <v>August</v>
      </c>
      <c r="I102" s="7">
        <v>45163.758263888885</v>
      </c>
      <c r="J102" s="2" t="b">
        <v>0</v>
      </c>
      <c r="K102" s="2" t="b">
        <v>1</v>
      </c>
      <c r="L102" s="2" t="s">
        <v>16</v>
      </c>
      <c r="M102" s="2" t="s">
        <v>97</v>
      </c>
      <c r="N102" s="2"/>
      <c r="O102" s="2">
        <v>50.75</v>
      </c>
      <c r="P102" s="2" t="s">
        <v>408</v>
      </c>
      <c r="Q102" s="2" t="s">
        <v>409</v>
      </c>
    </row>
    <row r="103" spans="1:17" x14ac:dyDescent="0.2">
      <c r="A103" s="2" t="s">
        <v>72</v>
      </c>
      <c r="B103" s="2" t="s">
        <v>72</v>
      </c>
      <c r="C103" s="2" t="s">
        <v>104</v>
      </c>
      <c r="D103" s="2" t="s">
        <v>118</v>
      </c>
      <c r="E103" s="2" t="s">
        <v>67</v>
      </c>
      <c r="F103" s="2" t="b">
        <v>1</v>
      </c>
      <c r="G103" s="2" t="s">
        <v>96</v>
      </c>
      <c r="H103" s="2" t="str">
        <f t="shared" si="1"/>
        <v>September</v>
      </c>
      <c r="I103" s="7">
        <v>45194.919861111113</v>
      </c>
      <c r="J103" s="2" t="b">
        <v>0</v>
      </c>
      <c r="K103" s="2" t="b">
        <v>1</v>
      </c>
      <c r="L103" s="2" t="s">
        <v>16</v>
      </c>
      <c r="M103" s="2" t="s">
        <v>69</v>
      </c>
      <c r="N103" s="2">
        <v>112500</v>
      </c>
      <c r="O103" s="2"/>
      <c r="P103" s="2" t="s">
        <v>410</v>
      </c>
      <c r="Q103" s="2" t="s">
        <v>411</v>
      </c>
    </row>
    <row r="104" spans="1:17" x14ac:dyDescent="0.2">
      <c r="A104" s="2" t="s">
        <v>135</v>
      </c>
      <c r="B104" s="2" t="s">
        <v>135</v>
      </c>
      <c r="C104" s="2" t="s">
        <v>412</v>
      </c>
      <c r="D104" s="2" t="s">
        <v>413</v>
      </c>
      <c r="E104" s="2" t="s">
        <v>67</v>
      </c>
      <c r="F104" s="2" t="b">
        <v>0</v>
      </c>
      <c r="G104" s="2" t="s">
        <v>140</v>
      </c>
      <c r="H104" s="2" t="str">
        <f t="shared" si="1"/>
        <v>December</v>
      </c>
      <c r="I104" s="7">
        <v>45273.37699074074</v>
      </c>
      <c r="J104" s="2" t="b">
        <v>0</v>
      </c>
      <c r="K104" s="2" t="b">
        <v>1</v>
      </c>
      <c r="L104" s="2" t="s">
        <v>16</v>
      </c>
      <c r="M104" s="2" t="s">
        <v>69</v>
      </c>
      <c r="N104" s="2">
        <v>100000</v>
      </c>
      <c r="O104" s="2"/>
      <c r="P104" s="2" t="s">
        <v>414</v>
      </c>
      <c r="Q104" s="2"/>
    </row>
    <row r="105" spans="1:17" x14ac:dyDescent="0.2">
      <c r="A105" s="2" t="s">
        <v>72</v>
      </c>
      <c r="B105" s="2" t="s">
        <v>72</v>
      </c>
      <c r="C105" s="2" t="s">
        <v>415</v>
      </c>
      <c r="D105" s="2" t="s">
        <v>118</v>
      </c>
      <c r="E105" s="2" t="s">
        <v>67</v>
      </c>
      <c r="F105" s="2" t="b">
        <v>0</v>
      </c>
      <c r="G105" s="2" t="s">
        <v>113</v>
      </c>
      <c r="H105" s="2" t="str">
        <f t="shared" si="1"/>
        <v>July</v>
      </c>
      <c r="I105" s="7">
        <v>45125.879918981482</v>
      </c>
      <c r="J105" s="2" t="b">
        <v>0</v>
      </c>
      <c r="K105" s="2" t="b">
        <v>0</v>
      </c>
      <c r="L105" s="2" t="s">
        <v>16</v>
      </c>
      <c r="M105" s="2" t="s">
        <v>69</v>
      </c>
      <c r="N105" s="2">
        <v>75000</v>
      </c>
      <c r="O105" s="2"/>
      <c r="P105" s="2" t="s">
        <v>416</v>
      </c>
      <c r="Q105" s="2" t="s">
        <v>417</v>
      </c>
    </row>
    <row r="106" spans="1:17" x14ac:dyDescent="0.2">
      <c r="A106" s="2" t="s">
        <v>91</v>
      </c>
      <c r="B106" s="2" t="s">
        <v>418</v>
      </c>
      <c r="C106" s="2" t="s">
        <v>150</v>
      </c>
      <c r="D106" s="2" t="s">
        <v>75</v>
      </c>
      <c r="E106" s="2" t="s">
        <v>67</v>
      </c>
      <c r="F106" s="2" t="b">
        <v>0</v>
      </c>
      <c r="G106" s="2" t="s">
        <v>140</v>
      </c>
      <c r="H106" s="2" t="str">
        <f t="shared" si="1"/>
        <v>August</v>
      </c>
      <c r="I106" s="7">
        <v>45140.62940972222</v>
      </c>
      <c r="J106" s="2" t="b">
        <v>0</v>
      </c>
      <c r="K106" s="2" t="b">
        <v>1</v>
      </c>
      <c r="L106" s="2" t="s">
        <v>16</v>
      </c>
      <c r="M106" s="2" t="s">
        <v>69</v>
      </c>
      <c r="N106" s="2">
        <v>109750</v>
      </c>
      <c r="O106" s="2"/>
      <c r="P106" s="2" t="s">
        <v>419</v>
      </c>
      <c r="Q106" s="2" t="s">
        <v>420</v>
      </c>
    </row>
    <row r="107" spans="1:17" x14ac:dyDescent="0.2">
      <c r="A107" s="2" t="s">
        <v>72</v>
      </c>
      <c r="B107" s="2" t="s">
        <v>421</v>
      </c>
      <c r="C107" s="2" t="s">
        <v>422</v>
      </c>
      <c r="D107" s="2" t="s">
        <v>87</v>
      </c>
      <c r="E107" s="2" t="s">
        <v>67</v>
      </c>
      <c r="F107" s="2" t="b">
        <v>0</v>
      </c>
      <c r="G107" s="2" t="s">
        <v>404</v>
      </c>
      <c r="H107" s="2" t="str">
        <f t="shared" si="1"/>
        <v>February</v>
      </c>
      <c r="I107" s="7">
        <v>44968.426226851851</v>
      </c>
      <c r="J107" s="2" t="b">
        <v>0</v>
      </c>
      <c r="K107" s="2" t="b">
        <v>0</v>
      </c>
      <c r="L107" s="2" t="s">
        <v>404</v>
      </c>
      <c r="M107" s="2" t="s">
        <v>69</v>
      </c>
      <c r="N107" s="2">
        <v>147500</v>
      </c>
      <c r="O107" s="2"/>
      <c r="P107" s="2" t="s">
        <v>423</v>
      </c>
      <c r="Q107" s="2" t="s">
        <v>424</v>
      </c>
    </row>
    <row r="108" spans="1:17" x14ac:dyDescent="0.2">
      <c r="A108" s="2" t="s">
        <v>135</v>
      </c>
      <c r="B108" s="2" t="s">
        <v>425</v>
      </c>
      <c r="C108" s="2" t="s">
        <v>426</v>
      </c>
      <c r="D108" s="2" t="s">
        <v>94</v>
      </c>
      <c r="E108" s="2" t="s">
        <v>67</v>
      </c>
      <c r="F108" s="2" t="b">
        <v>0</v>
      </c>
      <c r="G108" s="2" t="s">
        <v>88</v>
      </c>
      <c r="H108" s="2" t="str">
        <f t="shared" si="1"/>
        <v>August</v>
      </c>
      <c r="I108" s="7">
        <v>45147.792800925927</v>
      </c>
      <c r="J108" s="2" t="b">
        <v>1</v>
      </c>
      <c r="K108" s="2" t="b">
        <v>0</v>
      </c>
      <c r="L108" s="2" t="s">
        <v>16</v>
      </c>
      <c r="M108" s="2" t="s">
        <v>97</v>
      </c>
      <c r="N108" s="2"/>
      <c r="O108" s="2">
        <v>54.954998019999998</v>
      </c>
      <c r="P108" s="2" t="s">
        <v>427</v>
      </c>
      <c r="Q108" s="2" t="s">
        <v>428</v>
      </c>
    </row>
    <row r="109" spans="1:17" x14ac:dyDescent="0.2">
      <c r="A109" s="2" t="s">
        <v>72</v>
      </c>
      <c r="B109" s="2" t="s">
        <v>72</v>
      </c>
      <c r="C109" s="2" t="s">
        <v>429</v>
      </c>
      <c r="D109" s="2" t="s">
        <v>94</v>
      </c>
      <c r="E109" s="2" t="s">
        <v>95</v>
      </c>
      <c r="F109" s="2" t="b">
        <v>0</v>
      </c>
      <c r="G109" s="2" t="s">
        <v>140</v>
      </c>
      <c r="H109" s="2" t="str">
        <f t="shared" si="1"/>
        <v>December</v>
      </c>
      <c r="I109" s="7">
        <v>45289.297326388885</v>
      </c>
      <c r="J109" s="2" t="b">
        <v>0</v>
      </c>
      <c r="K109" s="2" t="b">
        <v>0</v>
      </c>
      <c r="L109" s="2" t="s">
        <v>16</v>
      </c>
      <c r="M109" s="2" t="s">
        <v>97</v>
      </c>
      <c r="N109" s="2"/>
      <c r="O109" s="2">
        <v>44.75</v>
      </c>
      <c r="P109" s="2" t="s">
        <v>98</v>
      </c>
      <c r="Q109" s="2" t="s">
        <v>430</v>
      </c>
    </row>
    <row r="110" spans="1:17" x14ac:dyDescent="0.2">
      <c r="A110" s="2" t="s">
        <v>135</v>
      </c>
      <c r="B110" s="2" t="s">
        <v>431</v>
      </c>
      <c r="C110" s="2" t="s">
        <v>432</v>
      </c>
      <c r="D110" s="2" t="s">
        <v>66</v>
      </c>
      <c r="E110" s="2" t="s">
        <v>265</v>
      </c>
      <c r="F110" s="2" t="b">
        <v>0</v>
      </c>
      <c r="G110" s="2" t="s">
        <v>96</v>
      </c>
      <c r="H110" s="2" t="str">
        <f t="shared" si="1"/>
        <v>May</v>
      </c>
      <c r="I110" s="7">
        <v>45055.382881944446</v>
      </c>
      <c r="J110" s="2" t="b">
        <v>0</v>
      </c>
      <c r="K110" s="2" t="b">
        <v>0</v>
      </c>
      <c r="L110" s="2" t="s">
        <v>16</v>
      </c>
      <c r="M110" s="2" t="s">
        <v>97</v>
      </c>
      <c r="N110" s="2"/>
      <c r="O110" s="2">
        <v>8</v>
      </c>
      <c r="P110" s="2" t="s">
        <v>433</v>
      </c>
      <c r="Q110" s="2" t="s">
        <v>434</v>
      </c>
    </row>
    <row r="111" spans="1:17" x14ac:dyDescent="0.2">
      <c r="A111" s="2" t="s">
        <v>91</v>
      </c>
      <c r="B111" s="2" t="s">
        <v>435</v>
      </c>
      <c r="C111" s="2" t="s">
        <v>422</v>
      </c>
      <c r="D111" s="2" t="s">
        <v>87</v>
      </c>
      <c r="E111" s="2" t="s">
        <v>67</v>
      </c>
      <c r="F111" s="2" t="b">
        <v>0</v>
      </c>
      <c r="G111" s="2" t="s">
        <v>404</v>
      </c>
      <c r="H111" s="2" t="str">
        <f t="shared" si="1"/>
        <v>May</v>
      </c>
      <c r="I111" s="7">
        <v>45070.25640046296</v>
      </c>
      <c r="J111" s="2" t="b">
        <v>0</v>
      </c>
      <c r="K111" s="2" t="b">
        <v>0</v>
      </c>
      <c r="L111" s="2" t="s">
        <v>404</v>
      </c>
      <c r="M111" s="2" t="s">
        <v>69</v>
      </c>
      <c r="N111" s="2">
        <v>79200</v>
      </c>
      <c r="O111" s="2"/>
      <c r="P111" s="2" t="s">
        <v>436</v>
      </c>
      <c r="Q111" s="2" t="s">
        <v>437</v>
      </c>
    </row>
    <row r="112" spans="1:17" x14ac:dyDescent="0.2">
      <c r="A112" s="2" t="s">
        <v>72</v>
      </c>
      <c r="B112" s="2" t="s">
        <v>438</v>
      </c>
      <c r="C112" s="2" t="s">
        <v>439</v>
      </c>
      <c r="D112" s="2" t="s">
        <v>94</v>
      </c>
      <c r="E112" s="2" t="s">
        <v>67</v>
      </c>
      <c r="F112" s="2" t="b">
        <v>0</v>
      </c>
      <c r="G112" s="2" t="s">
        <v>140</v>
      </c>
      <c r="H112" s="2" t="str">
        <f t="shared" si="1"/>
        <v>August</v>
      </c>
      <c r="I112" s="7">
        <v>45155.466446759259</v>
      </c>
      <c r="J112" s="2" t="b">
        <v>1</v>
      </c>
      <c r="K112" s="2" t="b">
        <v>0</v>
      </c>
      <c r="L112" s="2" t="s">
        <v>16</v>
      </c>
      <c r="M112" s="2" t="s">
        <v>97</v>
      </c>
      <c r="N112" s="2"/>
      <c r="O112" s="2">
        <v>61</v>
      </c>
      <c r="P112" s="2" t="s">
        <v>328</v>
      </c>
      <c r="Q112" s="2" t="s">
        <v>440</v>
      </c>
    </row>
    <row r="113" spans="1:17" x14ac:dyDescent="0.2">
      <c r="A113" s="2" t="s">
        <v>91</v>
      </c>
      <c r="B113" s="2" t="s">
        <v>441</v>
      </c>
      <c r="C113" s="2" t="s">
        <v>104</v>
      </c>
      <c r="D113" s="2" t="s">
        <v>94</v>
      </c>
      <c r="E113" s="2" t="s">
        <v>67</v>
      </c>
      <c r="F113" s="2" t="b">
        <v>1</v>
      </c>
      <c r="G113" s="2" t="s">
        <v>76</v>
      </c>
      <c r="H113" s="2" t="str">
        <f t="shared" si="1"/>
        <v>August</v>
      </c>
      <c r="I113" s="7">
        <v>45148.758229166669</v>
      </c>
      <c r="J113" s="2" t="b">
        <v>0</v>
      </c>
      <c r="K113" s="2" t="b">
        <v>1</v>
      </c>
      <c r="L113" s="2" t="s">
        <v>16</v>
      </c>
      <c r="M113" s="2" t="s">
        <v>97</v>
      </c>
      <c r="N113" s="2"/>
      <c r="O113" s="2">
        <v>43.709999080000003</v>
      </c>
      <c r="P113" s="2" t="s">
        <v>442</v>
      </c>
      <c r="Q113" s="2" t="s">
        <v>443</v>
      </c>
    </row>
    <row r="114" spans="1:17" x14ac:dyDescent="0.2">
      <c r="A114" s="2" t="s">
        <v>72</v>
      </c>
      <c r="B114" s="2" t="s">
        <v>444</v>
      </c>
      <c r="C114" s="2" t="s">
        <v>445</v>
      </c>
      <c r="D114" s="2" t="s">
        <v>94</v>
      </c>
      <c r="E114" s="2" t="s">
        <v>95</v>
      </c>
      <c r="F114" s="2" t="b">
        <v>0</v>
      </c>
      <c r="G114" s="2" t="s">
        <v>68</v>
      </c>
      <c r="H114" s="2" t="str">
        <f t="shared" si="1"/>
        <v>December</v>
      </c>
      <c r="I114" s="7">
        <v>45262.283078703702</v>
      </c>
      <c r="J114" s="2" t="b">
        <v>0</v>
      </c>
      <c r="K114" s="2" t="b">
        <v>1</v>
      </c>
      <c r="L114" s="2" t="s">
        <v>68</v>
      </c>
      <c r="M114" s="2" t="s">
        <v>97</v>
      </c>
      <c r="N114" s="2"/>
      <c r="O114" s="2">
        <v>61.159996030000002</v>
      </c>
      <c r="P114" s="2" t="s">
        <v>446</v>
      </c>
      <c r="Q114" s="2" t="s">
        <v>447</v>
      </c>
    </row>
    <row r="115" spans="1:17" x14ac:dyDescent="0.2">
      <c r="A115" s="2" t="s">
        <v>72</v>
      </c>
      <c r="B115" s="2" t="s">
        <v>72</v>
      </c>
      <c r="C115" s="2" t="s">
        <v>104</v>
      </c>
      <c r="D115" s="2" t="s">
        <v>284</v>
      </c>
      <c r="E115" s="2" t="s">
        <v>285</v>
      </c>
      <c r="F115" s="2" t="b">
        <v>1</v>
      </c>
      <c r="G115" s="2" t="s">
        <v>113</v>
      </c>
      <c r="H115" s="2" t="str">
        <f t="shared" si="1"/>
        <v>September</v>
      </c>
      <c r="I115" s="7">
        <v>45184.795972222222</v>
      </c>
      <c r="J115" s="2" t="b">
        <v>1</v>
      </c>
      <c r="K115" s="2" t="b">
        <v>0</v>
      </c>
      <c r="L115" s="2" t="s">
        <v>16</v>
      </c>
      <c r="M115" s="2" t="s">
        <v>97</v>
      </c>
      <c r="N115" s="2"/>
      <c r="O115" s="2">
        <v>100</v>
      </c>
      <c r="P115" s="2" t="s">
        <v>286</v>
      </c>
      <c r="Q115" s="2" t="s">
        <v>448</v>
      </c>
    </row>
    <row r="116" spans="1:17" x14ac:dyDescent="0.2">
      <c r="A116" s="2" t="s">
        <v>72</v>
      </c>
      <c r="B116" s="2" t="s">
        <v>449</v>
      </c>
      <c r="C116" s="2" t="s">
        <v>450</v>
      </c>
      <c r="D116" s="2" t="s">
        <v>94</v>
      </c>
      <c r="E116" s="2" t="s">
        <v>67</v>
      </c>
      <c r="F116" s="2" t="b">
        <v>0</v>
      </c>
      <c r="G116" s="2" t="s">
        <v>68</v>
      </c>
      <c r="H116" s="2" t="str">
        <f t="shared" si="1"/>
        <v>September</v>
      </c>
      <c r="I116" s="7">
        <v>45186.718599537038</v>
      </c>
      <c r="J116" s="2" t="b">
        <v>0</v>
      </c>
      <c r="K116" s="2" t="b">
        <v>1</v>
      </c>
      <c r="L116" s="2" t="s">
        <v>68</v>
      </c>
      <c r="M116" s="2" t="s">
        <v>97</v>
      </c>
      <c r="N116" s="2"/>
      <c r="O116" s="2">
        <v>50.965000150000002</v>
      </c>
      <c r="P116" s="2" t="s">
        <v>451</v>
      </c>
      <c r="Q116" s="2" t="s">
        <v>452</v>
      </c>
    </row>
    <row r="117" spans="1:17" x14ac:dyDescent="0.2">
      <c r="A117" s="2" t="s">
        <v>91</v>
      </c>
      <c r="B117" s="2" t="s">
        <v>91</v>
      </c>
      <c r="C117" s="2" t="s">
        <v>453</v>
      </c>
      <c r="D117" s="2" t="s">
        <v>118</v>
      </c>
      <c r="E117" s="2" t="s">
        <v>139</v>
      </c>
      <c r="F117" s="2" t="b">
        <v>0</v>
      </c>
      <c r="G117" s="2" t="s">
        <v>96</v>
      </c>
      <c r="H117" s="2" t="str">
        <f t="shared" si="1"/>
        <v>May</v>
      </c>
      <c r="I117" s="7">
        <v>45072.002511574072</v>
      </c>
      <c r="J117" s="2" t="b">
        <v>0</v>
      </c>
      <c r="K117" s="2" t="b">
        <v>1</v>
      </c>
      <c r="L117" s="2" t="s">
        <v>16</v>
      </c>
      <c r="M117" s="2" t="s">
        <v>69</v>
      </c>
      <c r="N117" s="2">
        <v>135000</v>
      </c>
      <c r="O117" s="2"/>
      <c r="P117" s="2" t="s">
        <v>454</v>
      </c>
      <c r="Q117" s="2" t="s">
        <v>307</v>
      </c>
    </row>
    <row r="118" spans="1:17" x14ac:dyDescent="0.2">
      <c r="A118" s="2" t="s">
        <v>135</v>
      </c>
      <c r="B118" s="2" t="s">
        <v>455</v>
      </c>
      <c r="C118" s="2" t="s">
        <v>104</v>
      </c>
      <c r="D118" s="2" t="s">
        <v>94</v>
      </c>
      <c r="E118" s="2" t="s">
        <v>67</v>
      </c>
      <c r="F118" s="2" t="b">
        <v>1</v>
      </c>
      <c r="G118" s="2" t="s">
        <v>82</v>
      </c>
      <c r="H118" s="2" t="str">
        <f t="shared" si="1"/>
        <v>April</v>
      </c>
      <c r="I118" s="7">
        <v>45046.458344907405</v>
      </c>
      <c r="J118" s="2" t="b">
        <v>1</v>
      </c>
      <c r="K118" s="2" t="b">
        <v>0</v>
      </c>
      <c r="L118" s="2" t="s">
        <v>16</v>
      </c>
      <c r="M118" s="2" t="s">
        <v>97</v>
      </c>
      <c r="N118" s="2"/>
      <c r="O118" s="2">
        <v>55</v>
      </c>
      <c r="P118" s="2" t="s">
        <v>328</v>
      </c>
      <c r="Q118" s="2"/>
    </row>
    <row r="119" spans="1:17" x14ac:dyDescent="0.2">
      <c r="A119" s="2" t="s">
        <v>91</v>
      </c>
      <c r="B119" s="2" t="s">
        <v>91</v>
      </c>
      <c r="C119" s="2" t="s">
        <v>16</v>
      </c>
      <c r="D119" s="2" t="s">
        <v>75</v>
      </c>
      <c r="E119" s="2" t="s">
        <v>67</v>
      </c>
      <c r="F119" s="2" t="b">
        <v>0</v>
      </c>
      <c r="G119" s="2" t="s">
        <v>68</v>
      </c>
      <c r="H119" s="2" t="str">
        <f t="shared" si="1"/>
        <v>February</v>
      </c>
      <c r="I119" s="7">
        <v>44960.587858796294</v>
      </c>
      <c r="J119" s="2" t="b">
        <v>0</v>
      </c>
      <c r="K119" s="2" t="b">
        <v>0</v>
      </c>
      <c r="L119" s="2" t="s">
        <v>68</v>
      </c>
      <c r="M119" s="2" t="s">
        <v>69</v>
      </c>
      <c r="N119" s="2">
        <v>155000</v>
      </c>
      <c r="O119" s="2"/>
      <c r="P119" s="2" t="s">
        <v>456</v>
      </c>
      <c r="Q119" s="2" t="s">
        <v>457</v>
      </c>
    </row>
    <row r="120" spans="1:17" x14ac:dyDescent="0.2">
      <c r="A120" s="2" t="s">
        <v>72</v>
      </c>
      <c r="B120" s="2" t="s">
        <v>72</v>
      </c>
      <c r="C120" s="2" t="s">
        <v>458</v>
      </c>
      <c r="D120" s="2" t="s">
        <v>459</v>
      </c>
      <c r="E120" s="2" t="s">
        <v>67</v>
      </c>
      <c r="F120" s="2" t="b">
        <v>0</v>
      </c>
      <c r="G120" s="2" t="s">
        <v>140</v>
      </c>
      <c r="H120" s="2" t="str">
        <f t="shared" si="1"/>
        <v>June</v>
      </c>
      <c r="I120" s="7">
        <v>45104.813530092593</v>
      </c>
      <c r="J120" s="2" t="b">
        <v>0</v>
      </c>
      <c r="K120" s="2" t="b">
        <v>1</v>
      </c>
      <c r="L120" s="2" t="s">
        <v>16</v>
      </c>
      <c r="M120" s="2" t="s">
        <v>69</v>
      </c>
      <c r="N120" s="2">
        <v>58926</v>
      </c>
      <c r="O120" s="2"/>
      <c r="P120" s="2" t="s">
        <v>157</v>
      </c>
      <c r="Q120" s="2" t="s">
        <v>460</v>
      </c>
    </row>
    <row r="121" spans="1:17" x14ac:dyDescent="0.2">
      <c r="A121" s="2" t="s">
        <v>107</v>
      </c>
      <c r="B121" s="2" t="s">
        <v>461</v>
      </c>
      <c r="C121" s="2" t="s">
        <v>462</v>
      </c>
      <c r="D121" s="2" t="s">
        <v>66</v>
      </c>
      <c r="E121" s="2" t="s">
        <v>67</v>
      </c>
      <c r="F121" s="2" t="b">
        <v>0</v>
      </c>
      <c r="G121" s="2" t="s">
        <v>88</v>
      </c>
      <c r="H121" s="2" t="str">
        <f t="shared" si="1"/>
        <v>September</v>
      </c>
      <c r="I121" s="7">
        <v>45174.839085648149</v>
      </c>
      <c r="J121" s="2" t="b">
        <v>0</v>
      </c>
      <c r="K121" s="2" t="b">
        <v>1</v>
      </c>
      <c r="L121" s="2" t="s">
        <v>16</v>
      </c>
      <c r="M121" s="2" t="s">
        <v>69</v>
      </c>
      <c r="N121" s="2">
        <v>135000</v>
      </c>
      <c r="O121" s="2"/>
      <c r="P121" s="2" t="s">
        <v>463</v>
      </c>
      <c r="Q121" s="2" t="s">
        <v>464</v>
      </c>
    </row>
    <row r="122" spans="1:17" x14ac:dyDescent="0.2">
      <c r="A122" s="2" t="s">
        <v>107</v>
      </c>
      <c r="B122" s="2" t="s">
        <v>465</v>
      </c>
      <c r="C122" s="2" t="s">
        <v>466</v>
      </c>
      <c r="D122" s="2" t="s">
        <v>94</v>
      </c>
      <c r="E122" s="2" t="s">
        <v>67</v>
      </c>
      <c r="F122" s="2" t="b">
        <v>0</v>
      </c>
      <c r="G122" s="2" t="s">
        <v>140</v>
      </c>
      <c r="H122" s="2" t="str">
        <f t="shared" si="1"/>
        <v>August</v>
      </c>
      <c r="I122" s="7">
        <v>45160.258032407408</v>
      </c>
      <c r="J122" s="2" t="b">
        <v>0</v>
      </c>
      <c r="K122" s="2" t="b">
        <v>1</v>
      </c>
      <c r="L122" s="2" t="s">
        <v>16</v>
      </c>
      <c r="M122" s="2" t="s">
        <v>97</v>
      </c>
      <c r="N122" s="2"/>
      <c r="O122" s="2">
        <v>52.77999878</v>
      </c>
      <c r="P122" s="2" t="s">
        <v>467</v>
      </c>
      <c r="Q122" s="2" t="s">
        <v>468</v>
      </c>
    </row>
    <row r="123" spans="1:17" x14ac:dyDescent="0.2">
      <c r="A123" s="2" t="s">
        <v>72</v>
      </c>
      <c r="B123" s="2" t="s">
        <v>72</v>
      </c>
      <c r="C123" s="2" t="s">
        <v>469</v>
      </c>
      <c r="D123" s="2" t="s">
        <v>147</v>
      </c>
      <c r="E123" s="2" t="s">
        <v>67</v>
      </c>
      <c r="F123" s="2" t="b">
        <v>0</v>
      </c>
      <c r="G123" s="2" t="s">
        <v>113</v>
      </c>
      <c r="H123" s="2" t="str">
        <f t="shared" si="1"/>
        <v>October</v>
      </c>
      <c r="I123" s="7">
        <v>45205.337037037039</v>
      </c>
      <c r="J123" s="2" t="b">
        <v>0</v>
      </c>
      <c r="K123" s="2" t="b">
        <v>0</v>
      </c>
      <c r="L123" s="2" t="s">
        <v>16</v>
      </c>
      <c r="M123" s="2" t="s">
        <v>69</v>
      </c>
      <c r="N123" s="2">
        <v>108415.5</v>
      </c>
      <c r="O123" s="2"/>
      <c r="P123" s="2" t="s">
        <v>182</v>
      </c>
      <c r="Q123" s="2" t="s">
        <v>470</v>
      </c>
    </row>
    <row r="124" spans="1:17" x14ac:dyDescent="0.2">
      <c r="A124" s="2" t="s">
        <v>72</v>
      </c>
      <c r="B124" s="2" t="s">
        <v>471</v>
      </c>
      <c r="C124" s="2" t="s">
        <v>472</v>
      </c>
      <c r="D124" s="2" t="s">
        <v>94</v>
      </c>
      <c r="E124" s="2" t="s">
        <v>95</v>
      </c>
      <c r="F124" s="2" t="b">
        <v>0</v>
      </c>
      <c r="G124" s="2" t="s">
        <v>140</v>
      </c>
      <c r="H124" s="2" t="str">
        <f t="shared" si="1"/>
        <v>November</v>
      </c>
      <c r="I124" s="7">
        <v>45242.29650462963</v>
      </c>
      <c r="J124" s="2" t="b">
        <v>1</v>
      </c>
      <c r="K124" s="2" t="b">
        <v>1</v>
      </c>
      <c r="L124" s="2" t="s">
        <v>16</v>
      </c>
      <c r="M124" s="2" t="s">
        <v>97</v>
      </c>
      <c r="N124" s="2"/>
      <c r="O124" s="2">
        <v>54.420001980000002</v>
      </c>
      <c r="P124" s="2" t="s">
        <v>473</v>
      </c>
      <c r="Q124" s="2" t="s">
        <v>474</v>
      </c>
    </row>
    <row r="125" spans="1:17" x14ac:dyDescent="0.2">
      <c r="A125" s="2" t="s">
        <v>72</v>
      </c>
      <c r="B125" s="2" t="s">
        <v>475</v>
      </c>
      <c r="C125" s="2" t="s">
        <v>476</v>
      </c>
      <c r="D125" s="2" t="s">
        <v>94</v>
      </c>
      <c r="E125" s="2" t="s">
        <v>67</v>
      </c>
      <c r="F125" s="2" t="b">
        <v>0</v>
      </c>
      <c r="G125" s="2" t="s">
        <v>82</v>
      </c>
      <c r="H125" s="2" t="str">
        <f t="shared" si="1"/>
        <v>August</v>
      </c>
      <c r="I125" s="7">
        <v>45146.254270833335</v>
      </c>
      <c r="J125" s="2" t="b">
        <v>0</v>
      </c>
      <c r="K125" s="2" t="b">
        <v>0</v>
      </c>
      <c r="L125" s="2" t="s">
        <v>16</v>
      </c>
      <c r="M125" s="2" t="s">
        <v>97</v>
      </c>
      <c r="N125" s="2"/>
      <c r="O125" s="2">
        <v>50.66999817</v>
      </c>
      <c r="P125" s="2" t="s">
        <v>477</v>
      </c>
      <c r="Q125" s="2" t="s">
        <v>478</v>
      </c>
    </row>
    <row r="126" spans="1:17" x14ac:dyDescent="0.2">
      <c r="A126" s="2" t="s">
        <v>72</v>
      </c>
      <c r="B126" s="2" t="s">
        <v>72</v>
      </c>
      <c r="C126" s="2" t="s">
        <v>479</v>
      </c>
      <c r="D126" s="2" t="s">
        <v>215</v>
      </c>
      <c r="E126" s="2" t="s">
        <v>139</v>
      </c>
      <c r="F126" s="2" t="b">
        <v>0</v>
      </c>
      <c r="G126" s="2" t="s">
        <v>96</v>
      </c>
      <c r="H126" s="2" t="str">
        <f t="shared" si="1"/>
        <v>March</v>
      </c>
      <c r="I126" s="7">
        <v>44993.630891203706</v>
      </c>
      <c r="J126" s="2" t="b">
        <v>1</v>
      </c>
      <c r="K126" s="2" t="b">
        <v>0</v>
      </c>
      <c r="L126" s="2" t="s">
        <v>16</v>
      </c>
      <c r="M126" s="2" t="s">
        <v>97</v>
      </c>
      <c r="N126" s="2"/>
      <c r="O126" s="2">
        <v>55</v>
      </c>
      <c r="P126" s="2" t="s">
        <v>480</v>
      </c>
      <c r="Q126" s="2" t="s">
        <v>481</v>
      </c>
    </row>
    <row r="127" spans="1:17" x14ac:dyDescent="0.2">
      <c r="A127" s="2" t="s">
        <v>79</v>
      </c>
      <c r="B127" s="2" t="s">
        <v>79</v>
      </c>
      <c r="C127" s="2" t="s">
        <v>357</v>
      </c>
      <c r="D127" s="2" t="s">
        <v>118</v>
      </c>
      <c r="E127" s="2" t="s">
        <v>67</v>
      </c>
      <c r="F127" s="2" t="b">
        <v>0</v>
      </c>
      <c r="G127" s="2" t="s">
        <v>96</v>
      </c>
      <c r="H127" s="2" t="str">
        <f t="shared" si="1"/>
        <v>May</v>
      </c>
      <c r="I127" s="7">
        <v>45050.584618055553</v>
      </c>
      <c r="J127" s="2" t="b">
        <v>1</v>
      </c>
      <c r="K127" s="2" t="b">
        <v>1</v>
      </c>
      <c r="L127" s="2" t="s">
        <v>16</v>
      </c>
      <c r="M127" s="2" t="s">
        <v>69</v>
      </c>
      <c r="N127" s="2">
        <v>150000</v>
      </c>
      <c r="O127" s="2"/>
      <c r="P127" s="2" t="s">
        <v>382</v>
      </c>
      <c r="Q127" s="2" t="s">
        <v>482</v>
      </c>
    </row>
    <row r="128" spans="1:17" x14ac:dyDescent="0.2">
      <c r="A128" s="2" t="s">
        <v>483</v>
      </c>
      <c r="B128" s="2" t="s">
        <v>484</v>
      </c>
      <c r="C128" s="2" t="s">
        <v>485</v>
      </c>
      <c r="D128" s="2" t="s">
        <v>486</v>
      </c>
      <c r="E128" s="2" t="s">
        <v>487</v>
      </c>
      <c r="F128" s="2" t="b">
        <v>0</v>
      </c>
      <c r="G128" s="2" t="s">
        <v>68</v>
      </c>
      <c r="H128" s="2" t="str">
        <f t="shared" si="1"/>
        <v>October</v>
      </c>
      <c r="I128" s="7">
        <v>45214.003750000003</v>
      </c>
      <c r="J128" s="2" t="b">
        <v>1</v>
      </c>
      <c r="K128" s="2" t="b">
        <v>0</v>
      </c>
      <c r="L128" s="2" t="s">
        <v>68</v>
      </c>
      <c r="M128" s="2" t="s">
        <v>97</v>
      </c>
      <c r="N128" s="2"/>
      <c r="O128" s="2">
        <v>40</v>
      </c>
      <c r="P128" s="2" t="s">
        <v>488</v>
      </c>
      <c r="Q128" s="2" t="s">
        <v>489</v>
      </c>
    </row>
    <row r="129" spans="1:17" x14ac:dyDescent="0.2">
      <c r="A129" s="2" t="s">
        <v>135</v>
      </c>
      <c r="B129" s="2" t="s">
        <v>490</v>
      </c>
      <c r="C129" s="2" t="s">
        <v>491</v>
      </c>
      <c r="D129" s="2" t="s">
        <v>87</v>
      </c>
      <c r="E129" s="2" t="s">
        <v>67</v>
      </c>
      <c r="F129" s="2" t="b">
        <v>0</v>
      </c>
      <c r="G129" s="2" t="s">
        <v>404</v>
      </c>
      <c r="H129" s="2" t="str">
        <f t="shared" si="1"/>
        <v>July</v>
      </c>
      <c r="I129" s="7">
        <v>45127.758472222224</v>
      </c>
      <c r="J129" s="2" t="b">
        <v>0</v>
      </c>
      <c r="K129" s="2" t="b">
        <v>0</v>
      </c>
      <c r="L129" s="2" t="s">
        <v>404</v>
      </c>
      <c r="M129" s="2" t="s">
        <v>69</v>
      </c>
      <c r="N129" s="2">
        <v>111175</v>
      </c>
      <c r="O129" s="2"/>
      <c r="P129" s="2" t="s">
        <v>492</v>
      </c>
      <c r="Q129" s="2" t="s">
        <v>493</v>
      </c>
    </row>
    <row r="130" spans="1:17" x14ac:dyDescent="0.2">
      <c r="A130" s="2" t="s">
        <v>72</v>
      </c>
      <c r="B130" s="2" t="s">
        <v>494</v>
      </c>
      <c r="C130" s="2" t="s">
        <v>363</v>
      </c>
      <c r="D130" s="2" t="s">
        <v>147</v>
      </c>
      <c r="E130" s="2" t="s">
        <v>67</v>
      </c>
      <c r="F130" s="2" t="b">
        <v>0</v>
      </c>
      <c r="G130" s="2" t="s">
        <v>113</v>
      </c>
      <c r="H130" s="2" t="str">
        <f t="shared" si="1"/>
        <v>June</v>
      </c>
      <c r="I130" s="7">
        <v>45103.296342592592</v>
      </c>
      <c r="J130" s="2" t="b">
        <v>0</v>
      </c>
      <c r="K130" s="2" t="b">
        <v>1</v>
      </c>
      <c r="L130" s="2" t="s">
        <v>16</v>
      </c>
      <c r="M130" s="2" t="s">
        <v>69</v>
      </c>
      <c r="N130" s="2">
        <v>90000</v>
      </c>
      <c r="O130" s="2"/>
      <c r="P130" s="2" t="s">
        <v>495</v>
      </c>
      <c r="Q130" s="2" t="s">
        <v>496</v>
      </c>
    </row>
    <row r="131" spans="1:17" x14ac:dyDescent="0.2">
      <c r="A131" s="2" t="s">
        <v>91</v>
      </c>
      <c r="B131" s="2" t="s">
        <v>91</v>
      </c>
      <c r="C131" s="2" t="s">
        <v>497</v>
      </c>
      <c r="D131" s="2" t="s">
        <v>215</v>
      </c>
      <c r="E131" s="2" t="s">
        <v>139</v>
      </c>
      <c r="F131" s="2" t="b">
        <v>0</v>
      </c>
      <c r="G131" s="2" t="s">
        <v>82</v>
      </c>
      <c r="H131" s="2" t="str">
        <f t="shared" ref="H131:H194" si="2">TEXT(I131,"mmmm")</f>
        <v>April</v>
      </c>
      <c r="I131" s="7">
        <v>45042.627754629626</v>
      </c>
      <c r="J131" s="2" t="b">
        <v>0</v>
      </c>
      <c r="K131" s="2" t="b">
        <v>0</v>
      </c>
      <c r="L131" s="2" t="s">
        <v>16</v>
      </c>
      <c r="M131" s="2" t="s">
        <v>97</v>
      </c>
      <c r="N131" s="2"/>
      <c r="O131" s="2">
        <v>70</v>
      </c>
      <c r="P131" s="2" t="s">
        <v>498</v>
      </c>
      <c r="Q131" s="2"/>
    </row>
    <row r="132" spans="1:17" x14ac:dyDescent="0.2">
      <c r="A132" s="2" t="s">
        <v>107</v>
      </c>
      <c r="B132" s="2" t="s">
        <v>107</v>
      </c>
      <c r="C132" s="2" t="s">
        <v>499</v>
      </c>
      <c r="D132" s="2" t="s">
        <v>156</v>
      </c>
      <c r="E132" s="2" t="s">
        <v>95</v>
      </c>
      <c r="F132" s="2" t="b">
        <v>0</v>
      </c>
      <c r="G132" s="2" t="s">
        <v>82</v>
      </c>
      <c r="H132" s="2" t="str">
        <f t="shared" si="2"/>
        <v>October</v>
      </c>
      <c r="I132" s="7">
        <v>45215.684479166666</v>
      </c>
      <c r="J132" s="2" t="b">
        <v>0</v>
      </c>
      <c r="K132" s="2" t="b">
        <v>1</v>
      </c>
      <c r="L132" s="2" t="s">
        <v>16</v>
      </c>
      <c r="M132" s="2" t="s">
        <v>69</v>
      </c>
      <c r="N132" s="2">
        <v>173500</v>
      </c>
      <c r="O132" s="2"/>
      <c r="P132" s="2" t="s">
        <v>157</v>
      </c>
      <c r="Q132" s="2" t="s">
        <v>500</v>
      </c>
    </row>
    <row r="133" spans="1:17" x14ac:dyDescent="0.2">
      <c r="A133" s="2" t="s">
        <v>91</v>
      </c>
      <c r="B133" s="2" t="s">
        <v>501</v>
      </c>
      <c r="C133" s="2" t="s">
        <v>104</v>
      </c>
      <c r="D133" s="2" t="s">
        <v>118</v>
      </c>
      <c r="E133" s="2" t="s">
        <v>67</v>
      </c>
      <c r="F133" s="2" t="b">
        <v>1</v>
      </c>
      <c r="G133" s="2" t="s">
        <v>96</v>
      </c>
      <c r="H133" s="2" t="str">
        <f t="shared" si="2"/>
        <v>May</v>
      </c>
      <c r="I133" s="7">
        <v>45072.919733796298</v>
      </c>
      <c r="J133" s="2" t="b">
        <v>0</v>
      </c>
      <c r="K133" s="2" t="b">
        <v>1</v>
      </c>
      <c r="L133" s="2" t="s">
        <v>16</v>
      </c>
      <c r="M133" s="2" t="s">
        <v>69</v>
      </c>
      <c r="N133" s="2">
        <v>324000</v>
      </c>
      <c r="O133" s="2"/>
      <c r="P133" s="2" t="s">
        <v>502</v>
      </c>
      <c r="Q133" s="2"/>
    </row>
    <row r="134" spans="1:17" x14ac:dyDescent="0.2">
      <c r="A134" s="2" t="s">
        <v>72</v>
      </c>
      <c r="B134" s="2" t="s">
        <v>72</v>
      </c>
      <c r="C134" s="2" t="s">
        <v>479</v>
      </c>
      <c r="D134" s="2" t="s">
        <v>118</v>
      </c>
      <c r="E134" s="2" t="s">
        <v>67</v>
      </c>
      <c r="F134" s="2" t="b">
        <v>0</v>
      </c>
      <c r="G134" s="2" t="s">
        <v>68</v>
      </c>
      <c r="H134" s="2" t="str">
        <f t="shared" si="2"/>
        <v>December</v>
      </c>
      <c r="I134" s="7">
        <v>45265.112280092595</v>
      </c>
      <c r="J134" s="2" t="b">
        <v>0</v>
      </c>
      <c r="K134" s="2" t="b">
        <v>1</v>
      </c>
      <c r="L134" s="2" t="s">
        <v>68</v>
      </c>
      <c r="M134" s="2" t="s">
        <v>69</v>
      </c>
      <c r="N134" s="2">
        <v>102500</v>
      </c>
      <c r="O134" s="2"/>
      <c r="P134" s="2" t="s">
        <v>328</v>
      </c>
      <c r="Q134" s="2" t="s">
        <v>503</v>
      </c>
    </row>
    <row r="135" spans="1:17" x14ac:dyDescent="0.2">
      <c r="A135" s="2" t="s">
        <v>72</v>
      </c>
      <c r="B135" s="2" t="s">
        <v>504</v>
      </c>
      <c r="C135" s="2" t="s">
        <v>505</v>
      </c>
      <c r="D135" s="2" t="s">
        <v>506</v>
      </c>
      <c r="E135" s="2" t="s">
        <v>67</v>
      </c>
      <c r="F135" s="2" t="b">
        <v>0</v>
      </c>
      <c r="G135" s="2" t="s">
        <v>113</v>
      </c>
      <c r="H135" s="2" t="str">
        <f t="shared" si="2"/>
        <v>May</v>
      </c>
      <c r="I135" s="7">
        <v>45056.423530092594</v>
      </c>
      <c r="J135" s="2" t="b">
        <v>1</v>
      </c>
      <c r="K135" s="2" t="b">
        <v>0</v>
      </c>
      <c r="L135" s="2" t="s">
        <v>16</v>
      </c>
      <c r="M135" s="2" t="s">
        <v>69</v>
      </c>
      <c r="N135" s="2">
        <v>115000</v>
      </c>
      <c r="O135" s="2"/>
      <c r="P135" s="2" t="s">
        <v>507</v>
      </c>
      <c r="Q135" s="2" t="s">
        <v>508</v>
      </c>
    </row>
    <row r="136" spans="1:17" x14ac:dyDescent="0.2">
      <c r="A136" s="2" t="s">
        <v>91</v>
      </c>
      <c r="B136" s="2" t="s">
        <v>509</v>
      </c>
      <c r="C136" s="2" t="s">
        <v>104</v>
      </c>
      <c r="D136" s="2" t="s">
        <v>118</v>
      </c>
      <c r="E136" s="2" t="s">
        <v>67</v>
      </c>
      <c r="F136" s="2" t="b">
        <v>1</v>
      </c>
      <c r="G136" s="2" t="s">
        <v>76</v>
      </c>
      <c r="H136" s="2" t="str">
        <f t="shared" si="2"/>
        <v>October</v>
      </c>
      <c r="I136" s="7">
        <v>45227.441018518519</v>
      </c>
      <c r="J136" s="2" t="b">
        <v>0</v>
      </c>
      <c r="K136" s="2" t="b">
        <v>0</v>
      </c>
      <c r="L136" s="2" t="s">
        <v>16</v>
      </c>
      <c r="M136" s="2" t="s">
        <v>69</v>
      </c>
      <c r="N136" s="2">
        <v>120000</v>
      </c>
      <c r="O136" s="2"/>
      <c r="P136" s="2" t="s">
        <v>312</v>
      </c>
      <c r="Q136" s="2" t="s">
        <v>510</v>
      </c>
    </row>
    <row r="137" spans="1:17" x14ac:dyDescent="0.2">
      <c r="A137" s="2" t="s">
        <v>91</v>
      </c>
      <c r="B137" s="2" t="s">
        <v>511</v>
      </c>
      <c r="C137" s="2" t="s">
        <v>104</v>
      </c>
      <c r="D137" s="2" t="s">
        <v>284</v>
      </c>
      <c r="E137" s="2" t="s">
        <v>67</v>
      </c>
      <c r="F137" s="2" t="b">
        <v>1</v>
      </c>
      <c r="G137" s="2" t="s">
        <v>96</v>
      </c>
      <c r="H137" s="2" t="str">
        <f t="shared" si="2"/>
        <v>February</v>
      </c>
      <c r="I137" s="7">
        <v>44965.66978009259</v>
      </c>
      <c r="J137" s="2" t="b">
        <v>0</v>
      </c>
      <c r="K137" s="2" t="b">
        <v>0</v>
      </c>
      <c r="L137" s="2" t="s">
        <v>16</v>
      </c>
      <c r="M137" s="2" t="s">
        <v>97</v>
      </c>
      <c r="N137" s="2"/>
      <c r="O137" s="2">
        <v>30.5</v>
      </c>
      <c r="P137" s="2" t="s">
        <v>286</v>
      </c>
      <c r="Q137" s="2" t="s">
        <v>512</v>
      </c>
    </row>
    <row r="138" spans="1:17" x14ac:dyDescent="0.2">
      <c r="A138" s="2" t="s">
        <v>91</v>
      </c>
      <c r="B138" s="2" t="s">
        <v>513</v>
      </c>
      <c r="C138" s="2" t="s">
        <v>104</v>
      </c>
      <c r="D138" s="2" t="s">
        <v>284</v>
      </c>
      <c r="E138" s="2" t="s">
        <v>285</v>
      </c>
      <c r="F138" s="2" t="b">
        <v>1</v>
      </c>
      <c r="G138" s="2" t="s">
        <v>88</v>
      </c>
      <c r="H138" s="2" t="str">
        <f t="shared" si="2"/>
        <v>December</v>
      </c>
      <c r="I138" s="7">
        <v>45275.752372685187</v>
      </c>
      <c r="J138" s="2" t="b">
        <v>0</v>
      </c>
      <c r="K138" s="2" t="b">
        <v>0</v>
      </c>
      <c r="L138" s="2" t="s">
        <v>16</v>
      </c>
      <c r="M138" s="2" t="s">
        <v>97</v>
      </c>
      <c r="N138" s="2"/>
      <c r="O138" s="2">
        <v>42.5</v>
      </c>
      <c r="P138" s="2" t="s">
        <v>286</v>
      </c>
      <c r="Q138" s="2" t="s">
        <v>514</v>
      </c>
    </row>
    <row r="139" spans="1:17" x14ac:dyDescent="0.2">
      <c r="A139" s="2" t="s">
        <v>135</v>
      </c>
      <c r="B139" s="2" t="s">
        <v>515</v>
      </c>
      <c r="C139" s="2" t="s">
        <v>432</v>
      </c>
      <c r="D139" s="2" t="s">
        <v>147</v>
      </c>
      <c r="E139" s="2" t="s">
        <v>67</v>
      </c>
      <c r="F139" s="2" t="b">
        <v>0</v>
      </c>
      <c r="G139" s="2" t="s">
        <v>96</v>
      </c>
      <c r="H139" s="2" t="str">
        <f t="shared" si="2"/>
        <v>June</v>
      </c>
      <c r="I139" s="7">
        <v>45106.292916666665</v>
      </c>
      <c r="J139" s="2" t="b">
        <v>0</v>
      </c>
      <c r="K139" s="2" t="b">
        <v>0</v>
      </c>
      <c r="L139" s="2" t="s">
        <v>16</v>
      </c>
      <c r="M139" s="2" t="s">
        <v>69</v>
      </c>
      <c r="N139" s="2">
        <v>90000</v>
      </c>
      <c r="O139" s="2"/>
      <c r="P139" s="2" t="s">
        <v>516</v>
      </c>
      <c r="Q139" s="2"/>
    </row>
    <row r="140" spans="1:17" x14ac:dyDescent="0.2">
      <c r="A140" s="2" t="s">
        <v>63</v>
      </c>
      <c r="B140" s="2" t="s">
        <v>63</v>
      </c>
      <c r="C140" s="2" t="s">
        <v>357</v>
      </c>
      <c r="D140" s="2" t="s">
        <v>75</v>
      </c>
      <c r="E140" s="2" t="s">
        <v>67</v>
      </c>
      <c r="F140" s="2" t="b">
        <v>0</v>
      </c>
      <c r="G140" s="2" t="s">
        <v>96</v>
      </c>
      <c r="H140" s="2" t="str">
        <f t="shared" si="2"/>
        <v>January</v>
      </c>
      <c r="I140" s="7">
        <v>44930.919699074075</v>
      </c>
      <c r="J140" s="2" t="b">
        <v>0</v>
      </c>
      <c r="K140" s="2" t="b">
        <v>1</v>
      </c>
      <c r="L140" s="2" t="s">
        <v>16</v>
      </c>
      <c r="M140" s="2" t="s">
        <v>69</v>
      </c>
      <c r="N140" s="2">
        <v>145000</v>
      </c>
      <c r="O140" s="2"/>
      <c r="P140" s="2" t="s">
        <v>517</v>
      </c>
      <c r="Q140" s="2" t="s">
        <v>518</v>
      </c>
    </row>
    <row r="141" spans="1:17" x14ac:dyDescent="0.2">
      <c r="A141" s="2" t="s">
        <v>72</v>
      </c>
      <c r="B141" s="2" t="s">
        <v>519</v>
      </c>
      <c r="C141" s="2" t="s">
        <v>520</v>
      </c>
      <c r="D141" s="2" t="s">
        <v>94</v>
      </c>
      <c r="E141" s="2" t="s">
        <v>67</v>
      </c>
      <c r="F141" s="2" t="b">
        <v>0</v>
      </c>
      <c r="G141" s="2" t="s">
        <v>113</v>
      </c>
      <c r="H141" s="2" t="str">
        <f t="shared" si="2"/>
        <v>August</v>
      </c>
      <c r="I141" s="7">
        <v>45157.629363425927</v>
      </c>
      <c r="J141" s="2" t="b">
        <v>0</v>
      </c>
      <c r="K141" s="2" t="b">
        <v>1</v>
      </c>
      <c r="L141" s="2" t="s">
        <v>16</v>
      </c>
      <c r="M141" s="2" t="s">
        <v>97</v>
      </c>
      <c r="N141" s="2"/>
      <c r="O141" s="2">
        <v>50.870002749999998</v>
      </c>
      <c r="P141" s="2" t="s">
        <v>521</v>
      </c>
      <c r="Q141" s="2" t="s">
        <v>522</v>
      </c>
    </row>
    <row r="142" spans="1:17" x14ac:dyDescent="0.2">
      <c r="A142" s="2" t="s">
        <v>72</v>
      </c>
      <c r="B142" s="2" t="s">
        <v>72</v>
      </c>
      <c r="C142" s="2" t="s">
        <v>86</v>
      </c>
      <c r="D142" s="2" t="s">
        <v>147</v>
      </c>
      <c r="E142" s="2" t="s">
        <v>67</v>
      </c>
      <c r="F142" s="2" t="b">
        <v>0</v>
      </c>
      <c r="G142" s="2" t="s">
        <v>76</v>
      </c>
      <c r="H142" s="2" t="str">
        <f t="shared" si="2"/>
        <v>April</v>
      </c>
      <c r="I142" s="7">
        <v>45033.318981481483</v>
      </c>
      <c r="J142" s="2" t="b">
        <v>0</v>
      </c>
      <c r="K142" s="2" t="b">
        <v>0</v>
      </c>
      <c r="L142" s="2" t="s">
        <v>16</v>
      </c>
      <c r="M142" s="2" t="s">
        <v>69</v>
      </c>
      <c r="N142" s="2">
        <v>125000</v>
      </c>
      <c r="O142" s="2"/>
      <c r="P142" s="2" t="s">
        <v>523</v>
      </c>
      <c r="Q142" s="2" t="s">
        <v>524</v>
      </c>
    </row>
    <row r="143" spans="1:17" x14ac:dyDescent="0.2">
      <c r="A143" s="2" t="s">
        <v>72</v>
      </c>
      <c r="B143" s="2" t="s">
        <v>494</v>
      </c>
      <c r="C143" s="2" t="s">
        <v>305</v>
      </c>
      <c r="D143" s="2" t="s">
        <v>147</v>
      </c>
      <c r="E143" s="2" t="s">
        <v>67</v>
      </c>
      <c r="F143" s="2" t="b">
        <v>0</v>
      </c>
      <c r="G143" s="2" t="s">
        <v>88</v>
      </c>
      <c r="H143" s="2" t="str">
        <f t="shared" si="2"/>
        <v>June</v>
      </c>
      <c r="I143" s="7">
        <v>45078.399212962962</v>
      </c>
      <c r="J143" s="2" t="b">
        <v>0</v>
      </c>
      <c r="K143" s="2" t="b">
        <v>0</v>
      </c>
      <c r="L143" s="2" t="s">
        <v>16</v>
      </c>
      <c r="M143" s="2" t="s">
        <v>69</v>
      </c>
      <c r="N143" s="2">
        <v>150000</v>
      </c>
      <c r="O143" s="2"/>
      <c r="P143" s="2" t="s">
        <v>525</v>
      </c>
      <c r="Q143" s="2" t="s">
        <v>526</v>
      </c>
    </row>
    <row r="144" spans="1:17" x14ac:dyDescent="0.2">
      <c r="A144" s="2" t="s">
        <v>135</v>
      </c>
      <c r="B144" s="2" t="s">
        <v>527</v>
      </c>
      <c r="C144" s="2" t="s">
        <v>104</v>
      </c>
      <c r="D144" s="2" t="s">
        <v>94</v>
      </c>
      <c r="E144" s="2" t="s">
        <v>95</v>
      </c>
      <c r="F144" s="2" t="b">
        <v>1</v>
      </c>
      <c r="G144" s="2" t="s">
        <v>88</v>
      </c>
      <c r="H144" s="2" t="str">
        <f t="shared" si="2"/>
        <v>October</v>
      </c>
      <c r="I144" s="7">
        <v>45212.501354166663</v>
      </c>
      <c r="J144" s="2" t="b">
        <v>0</v>
      </c>
      <c r="K144" s="2" t="b">
        <v>1</v>
      </c>
      <c r="L144" s="2" t="s">
        <v>16</v>
      </c>
      <c r="M144" s="2" t="s">
        <v>97</v>
      </c>
      <c r="N144" s="2"/>
      <c r="O144" s="2">
        <v>17.959999079999999</v>
      </c>
      <c r="P144" s="2" t="s">
        <v>528</v>
      </c>
      <c r="Q144" s="2" t="s">
        <v>529</v>
      </c>
    </row>
    <row r="145" spans="1:17" x14ac:dyDescent="0.2">
      <c r="A145" s="2" t="s">
        <v>63</v>
      </c>
      <c r="B145" s="2" t="s">
        <v>63</v>
      </c>
      <c r="C145" s="2" t="s">
        <v>104</v>
      </c>
      <c r="D145" s="2" t="s">
        <v>75</v>
      </c>
      <c r="E145" s="2" t="s">
        <v>67</v>
      </c>
      <c r="F145" s="2" t="b">
        <v>1</v>
      </c>
      <c r="G145" s="2" t="s">
        <v>88</v>
      </c>
      <c r="H145" s="2" t="str">
        <f t="shared" si="2"/>
        <v>April</v>
      </c>
      <c r="I145" s="7">
        <v>45027.808761574073</v>
      </c>
      <c r="J145" s="2" t="b">
        <v>0</v>
      </c>
      <c r="K145" s="2" t="b">
        <v>1</v>
      </c>
      <c r="L145" s="2" t="s">
        <v>16</v>
      </c>
      <c r="M145" s="2" t="s">
        <v>69</v>
      </c>
      <c r="N145" s="2">
        <v>155000</v>
      </c>
      <c r="O145" s="2"/>
      <c r="P145" s="2" t="s">
        <v>530</v>
      </c>
      <c r="Q145" s="2" t="s">
        <v>531</v>
      </c>
    </row>
    <row r="146" spans="1:17" x14ac:dyDescent="0.2">
      <c r="A146" s="2" t="s">
        <v>72</v>
      </c>
      <c r="B146" s="2" t="s">
        <v>72</v>
      </c>
      <c r="C146" s="2" t="s">
        <v>203</v>
      </c>
      <c r="D146" s="2" t="s">
        <v>118</v>
      </c>
      <c r="E146" s="2" t="s">
        <v>67</v>
      </c>
      <c r="F146" s="2" t="b">
        <v>0</v>
      </c>
      <c r="G146" s="2" t="s">
        <v>88</v>
      </c>
      <c r="H146" s="2" t="str">
        <f t="shared" si="2"/>
        <v>November</v>
      </c>
      <c r="I146" s="7">
        <v>45239.380833333336</v>
      </c>
      <c r="J146" s="2" t="b">
        <v>0</v>
      </c>
      <c r="K146" s="2" t="b">
        <v>0</v>
      </c>
      <c r="L146" s="2" t="s">
        <v>16</v>
      </c>
      <c r="M146" s="2" t="s">
        <v>69</v>
      </c>
      <c r="N146" s="2">
        <v>145000</v>
      </c>
      <c r="O146" s="2"/>
      <c r="P146" s="2" t="s">
        <v>532</v>
      </c>
      <c r="Q146" s="2" t="s">
        <v>533</v>
      </c>
    </row>
    <row r="147" spans="1:17" x14ac:dyDescent="0.2">
      <c r="A147" s="2" t="s">
        <v>91</v>
      </c>
      <c r="B147" s="2" t="s">
        <v>91</v>
      </c>
      <c r="C147" s="2" t="s">
        <v>534</v>
      </c>
      <c r="D147" s="2" t="s">
        <v>87</v>
      </c>
      <c r="E147" s="2" t="s">
        <v>67</v>
      </c>
      <c r="F147" s="2" t="b">
        <v>0</v>
      </c>
      <c r="G147" s="2" t="s">
        <v>535</v>
      </c>
      <c r="H147" s="2" t="str">
        <f t="shared" si="2"/>
        <v>August</v>
      </c>
      <c r="I147" s="7">
        <v>45146.577789351853</v>
      </c>
      <c r="J147" s="2" t="b">
        <v>0</v>
      </c>
      <c r="K147" s="2" t="b">
        <v>0</v>
      </c>
      <c r="L147" s="2" t="s">
        <v>535</v>
      </c>
      <c r="M147" s="2" t="s">
        <v>69</v>
      </c>
      <c r="N147" s="2">
        <v>157500</v>
      </c>
      <c r="O147" s="2"/>
      <c r="P147" s="2" t="s">
        <v>536</v>
      </c>
      <c r="Q147" s="2" t="s">
        <v>537</v>
      </c>
    </row>
    <row r="148" spans="1:17" x14ac:dyDescent="0.2">
      <c r="A148" s="2" t="s">
        <v>91</v>
      </c>
      <c r="B148" s="2" t="s">
        <v>538</v>
      </c>
      <c r="C148" s="2" t="s">
        <v>539</v>
      </c>
      <c r="D148" s="2" t="s">
        <v>87</v>
      </c>
      <c r="E148" s="2" t="s">
        <v>67</v>
      </c>
      <c r="F148" s="2" t="b">
        <v>0</v>
      </c>
      <c r="G148" s="2" t="s">
        <v>540</v>
      </c>
      <c r="H148" s="2" t="str">
        <f t="shared" si="2"/>
        <v>July</v>
      </c>
      <c r="I148" s="7">
        <v>45113.890416666669</v>
      </c>
      <c r="J148" s="2" t="b">
        <v>0</v>
      </c>
      <c r="K148" s="2" t="b">
        <v>0</v>
      </c>
      <c r="L148" s="2" t="s">
        <v>540</v>
      </c>
      <c r="M148" s="2" t="s">
        <v>69</v>
      </c>
      <c r="N148" s="2">
        <v>90670</v>
      </c>
      <c r="O148" s="2"/>
      <c r="P148" s="2" t="s">
        <v>541</v>
      </c>
      <c r="Q148" s="2" t="s">
        <v>542</v>
      </c>
    </row>
    <row r="149" spans="1:17" x14ac:dyDescent="0.2">
      <c r="A149" s="2" t="s">
        <v>72</v>
      </c>
      <c r="B149" s="2" t="s">
        <v>225</v>
      </c>
      <c r="C149" s="2" t="s">
        <v>458</v>
      </c>
      <c r="D149" s="2" t="s">
        <v>75</v>
      </c>
      <c r="E149" s="2" t="s">
        <v>67</v>
      </c>
      <c r="F149" s="2" t="b">
        <v>0</v>
      </c>
      <c r="G149" s="2" t="s">
        <v>88</v>
      </c>
      <c r="H149" s="2" t="str">
        <f t="shared" si="2"/>
        <v>August</v>
      </c>
      <c r="I149" s="7">
        <v>45169.510729166665</v>
      </c>
      <c r="J149" s="2" t="b">
        <v>0</v>
      </c>
      <c r="K149" s="2" t="b">
        <v>1</v>
      </c>
      <c r="L149" s="2" t="s">
        <v>16</v>
      </c>
      <c r="M149" s="2" t="s">
        <v>69</v>
      </c>
      <c r="N149" s="2">
        <v>67900</v>
      </c>
      <c r="O149" s="2"/>
      <c r="P149" s="2" t="s">
        <v>227</v>
      </c>
      <c r="Q149" s="2" t="s">
        <v>228</v>
      </c>
    </row>
    <row r="150" spans="1:17" x14ac:dyDescent="0.2">
      <c r="A150" s="2" t="s">
        <v>91</v>
      </c>
      <c r="B150" s="2" t="s">
        <v>543</v>
      </c>
      <c r="C150" s="2" t="s">
        <v>485</v>
      </c>
      <c r="D150" s="2" t="s">
        <v>75</v>
      </c>
      <c r="E150" s="2" t="s">
        <v>67</v>
      </c>
      <c r="F150" s="2" t="b">
        <v>0</v>
      </c>
      <c r="G150" s="2" t="s">
        <v>76</v>
      </c>
      <c r="H150" s="2" t="str">
        <f t="shared" si="2"/>
        <v>November</v>
      </c>
      <c r="I150" s="7">
        <v>45260.705231481479</v>
      </c>
      <c r="J150" s="2" t="b">
        <v>0</v>
      </c>
      <c r="K150" s="2" t="b">
        <v>1</v>
      </c>
      <c r="L150" s="2" t="s">
        <v>16</v>
      </c>
      <c r="M150" s="2" t="s">
        <v>97</v>
      </c>
      <c r="N150" s="2"/>
      <c r="O150" s="2">
        <v>36.5</v>
      </c>
      <c r="P150" s="2" t="s">
        <v>544</v>
      </c>
      <c r="Q150" s="2" t="s">
        <v>545</v>
      </c>
    </row>
    <row r="151" spans="1:17" x14ac:dyDescent="0.2">
      <c r="A151" s="2" t="s">
        <v>107</v>
      </c>
      <c r="B151" s="2" t="s">
        <v>546</v>
      </c>
      <c r="C151" s="2" t="s">
        <v>315</v>
      </c>
      <c r="D151" s="2" t="s">
        <v>506</v>
      </c>
      <c r="E151" s="2" t="s">
        <v>67</v>
      </c>
      <c r="F151" s="2" t="b">
        <v>0</v>
      </c>
      <c r="G151" s="2" t="s">
        <v>82</v>
      </c>
      <c r="H151" s="2" t="str">
        <f t="shared" si="2"/>
        <v>March</v>
      </c>
      <c r="I151" s="7">
        <v>45015.504108796296</v>
      </c>
      <c r="J151" s="2" t="b">
        <v>0</v>
      </c>
      <c r="K151" s="2" t="b">
        <v>1</v>
      </c>
      <c r="L151" s="2" t="s">
        <v>16</v>
      </c>
      <c r="M151" s="2" t="s">
        <v>69</v>
      </c>
      <c r="N151" s="2">
        <v>173500</v>
      </c>
      <c r="O151" s="2"/>
      <c r="P151" s="2" t="s">
        <v>157</v>
      </c>
      <c r="Q151" s="2" t="s">
        <v>547</v>
      </c>
    </row>
    <row r="152" spans="1:17" x14ac:dyDescent="0.2">
      <c r="A152" s="2" t="s">
        <v>72</v>
      </c>
      <c r="B152" s="2" t="s">
        <v>494</v>
      </c>
      <c r="C152" s="2" t="s">
        <v>548</v>
      </c>
      <c r="D152" s="2" t="s">
        <v>75</v>
      </c>
      <c r="E152" s="2" t="s">
        <v>67</v>
      </c>
      <c r="F152" s="2" t="b">
        <v>0</v>
      </c>
      <c r="G152" s="2" t="s">
        <v>96</v>
      </c>
      <c r="H152" s="2" t="str">
        <f t="shared" si="2"/>
        <v>June</v>
      </c>
      <c r="I152" s="7">
        <v>45083.338310185187</v>
      </c>
      <c r="J152" s="2" t="b">
        <v>1</v>
      </c>
      <c r="K152" s="2" t="b">
        <v>0</v>
      </c>
      <c r="L152" s="2" t="s">
        <v>16</v>
      </c>
      <c r="M152" s="2" t="s">
        <v>69</v>
      </c>
      <c r="N152" s="2">
        <v>145000</v>
      </c>
      <c r="O152" s="2"/>
      <c r="P152" s="2" t="s">
        <v>517</v>
      </c>
      <c r="Q152" s="2" t="s">
        <v>549</v>
      </c>
    </row>
    <row r="153" spans="1:17" x14ac:dyDescent="0.2">
      <c r="A153" s="2" t="s">
        <v>72</v>
      </c>
      <c r="B153" s="2" t="s">
        <v>550</v>
      </c>
      <c r="C153" s="2" t="s">
        <v>551</v>
      </c>
      <c r="D153" s="2" t="s">
        <v>118</v>
      </c>
      <c r="E153" s="2" t="s">
        <v>67</v>
      </c>
      <c r="F153" s="2" t="b">
        <v>0</v>
      </c>
      <c r="G153" s="2" t="s">
        <v>88</v>
      </c>
      <c r="H153" s="2" t="str">
        <f t="shared" si="2"/>
        <v>July</v>
      </c>
      <c r="I153" s="7">
        <v>45114.047696759262</v>
      </c>
      <c r="J153" s="2" t="b">
        <v>0</v>
      </c>
      <c r="K153" s="2" t="b">
        <v>1</v>
      </c>
      <c r="L153" s="2" t="s">
        <v>16</v>
      </c>
      <c r="M153" s="2" t="s">
        <v>69</v>
      </c>
      <c r="N153" s="2">
        <v>129500</v>
      </c>
      <c r="O153" s="2"/>
      <c r="P153" s="2" t="s">
        <v>552</v>
      </c>
      <c r="Q153" s="2" t="s">
        <v>553</v>
      </c>
    </row>
    <row r="154" spans="1:17" x14ac:dyDescent="0.2">
      <c r="A154" s="2" t="s">
        <v>79</v>
      </c>
      <c r="B154" s="2" t="s">
        <v>554</v>
      </c>
      <c r="C154" s="2" t="s">
        <v>555</v>
      </c>
      <c r="D154" s="2" t="s">
        <v>75</v>
      </c>
      <c r="E154" s="2" t="s">
        <v>67</v>
      </c>
      <c r="F154" s="2" t="b">
        <v>0</v>
      </c>
      <c r="G154" s="2" t="s">
        <v>76</v>
      </c>
      <c r="H154" s="2" t="str">
        <f t="shared" si="2"/>
        <v>September</v>
      </c>
      <c r="I154" s="7">
        <v>45170.020682870374</v>
      </c>
      <c r="J154" s="2" t="b">
        <v>0</v>
      </c>
      <c r="K154" s="2" t="b">
        <v>1</v>
      </c>
      <c r="L154" s="2" t="s">
        <v>16</v>
      </c>
      <c r="M154" s="2" t="s">
        <v>69</v>
      </c>
      <c r="N154" s="2">
        <v>145500</v>
      </c>
      <c r="O154" s="2"/>
      <c r="P154" s="2" t="s">
        <v>556</v>
      </c>
      <c r="Q154" s="2" t="s">
        <v>557</v>
      </c>
    </row>
    <row r="155" spans="1:17" x14ac:dyDescent="0.2">
      <c r="A155" s="2" t="s">
        <v>72</v>
      </c>
      <c r="B155" s="2" t="s">
        <v>558</v>
      </c>
      <c r="C155" s="2" t="s">
        <v>559</v>
      </c>
      <c r="D155" s="2" t="s">
        <v>560</v>
      </c>
      <c r="E155" s="2" t="s">
        <v>67</v>
      </c>
      <c r="F155" s="2" t="b">
        <v>0</v>
      </c>
      <c r="G155" s="2" t="s">
        <v>113</v>
      </c>
      <c r="H155" s="2" t="str">
        <f t="shared" si="2"/>
        <v>March</v>
      </c>
      <c r="I155" s="7">
        <v>45010.590601851851</v>
      </c>
      <c r="J155" s="2" t="b">
        <v>0</v>
      </c>
      <c r="K155" s="2" t="b">
        <v>1</v>
      </c>
      <c r="L155" s="2" t="s">
        <v>16</v>
      </c>
      <c r="M155" s="2" t="s">
        <v>69</v>
      </c>
      <c r="N155" s="2">
        <v>131000</v>
      </c>
      <c r="O155" s="2"/>
      <c r="P155" s="2" t="s">
        <v>221</v>
      </c>
      <c r="Q155" s="2" t="s">
        <v>561</v>
      </c>
    </row>
    <row r="156" spans="1:17" x14ac:dyDescent="0.2">
      <c r="A156" s="2" t="s">
        <v>135</v>
      </c>
      <c r="B156" s="2" t="s">
        <v>562</v>
      </c>
      <c r="C156" s="2" t="s">
        <v>367</v>
      </c>
      <c r="D156" s="2" t="s">
        <v>413</v>
      </c>
      <c r="E156" s="2" t="s">
        <v>67</v>
      </c>
      <c r="F156" s="2" t="b">
        <v>0</v>
      </c>
      <c r="G156" s="2" t="s">
        <v>96</v>
      </c>
      <c r="H156" s="2" t="str">
        <f t="shared" si="2"/>
        <v>December</v>
      </c>
      <c r="I156" s="7">
        <v>45273.376469907409</v>
      </c>
      <c r="J156" s="2" t="b">
        <v>0</v>
      </c>
      <c r="K156" s="2" t="b">
        <v>0</v>
      </c>
      <c r="L156" s="2" t="s">
        <v>16</v>
      </c>
      <c r="M156" s="2" t="s">
        <v>69</v>
      </c>
      <c r="N156" s="2">
        <v>70000</v>
      </c>
      <c r="O156" s="2"/>
      <c r="P156" s="2" t="s">
        <v>563</v>
      </c>
      <c r="Q156" s="2" t="s">
        <v>564</v>
      </c>
    </row>
    <row r="157" spans="1:17" x14ac:dyDescent="0.2">
      <c r="A157" s="2" t="s">
        <v>72</v>
      </c>
      <c r="B157" s="2" t="s">
        <v>565</v>
      </c>
      <c r="C157" s="2" t="s">
        <v>104</v>
      </c>
      <c r="D157" s="2" t="s">
        <v>284</v>
      </c>
      <c r="E157" s="2" t="s">
        <v>139</v>
      </c>
      <c r="F157" s="2" t="b">
        <v>1</v>
      </c>
      <c r="G157" s="2" t="s">
        <v>82</v>
      </c>
      <c r="H157" s="2" t="str">
        <f t="shared" si="2"/>
        <v>March</v>
      </c>
      <c r="I157" s="7">
        <v>45000.670543981483</v>
      </c>
      <c r="J157" s="2" t="b">
        <v>0</v>
      </c>
      <c r="K157" s="2" t="b">
        <v>0</v>
      </c>
      <c r="L157" s="2" t="s">
        <v>16</v>
      </c>
      <c r="M157" s="2" t="s">
        <v>97</v>
      </c>
      <c r="N157" s="2"/>
      <c r="O157" s="2">
        <v>40</v>
      </c>
      <c r="P157" s="2" t="s">
        <v>286</v>
      </c>
      <c r="Q157" s="2" t="s">
        <v>566</v>
      </c>
    </row>
    <row r="158" spans="1:17" x14ac:dyDescent="0.2">
      <c r="A158" s="2" t="s">
        <v>79</v>
      </c>
      <c r="B158" s="2" t="s">
        <v>567</v>
      </c>
      <c r="C158" s="2" t="s">
        <v>93</v>
      </c>
      <c r="D158" s="2" t="s">
        <v>147</v>
      </c>
      <c r="E158" s="2" t="s">
        <v>67</v>
      </c>
      <c r="F158" s="2" t="b">
        <v>0</v>
      </c>
      <c r="G158" s="2" t="s">
        <v>96</v>
      </c>
      <c r="H158" s="2" t="str">
        <f t="shared" si="2"/>
        <v>May</v>
      </c>
      <c r="I158" s="7">
        <v>45052.502395833333</v>
      </c>
      <c r="J158" s="2" t="b">
        <v>0</v>
      </c>
      <c r="K158" s="2" t="b">
        <v>0</v>
      </c>
      <c r="L158" s="2" t="s">
        <v>16</v>
      </c>
      <c r="M158" s="2" t="s">
        <v>69</v>
      </c>
      <c r="N158" s="2">
        <v>125000</v>
      </c>
      <c r="O158" s="2"/>
      <c r="P158" s="2" t="s">
        <v>568</v>
      </c>
      <c r="Q158" s="2" t="s">
        <v>569</v>
      </c>
    </row>
    <row r="159" spans="1:17" x14ac:dyDescent="0.2">
      <c r="A159" s="2" t="s">
        <v>79</v>
      </c>
      <c r="B159" s="2" t="s">
        <v>570</v>
      </c>
      <c r="C159" s="2" t="s">
        <v>571</v>
      </c>
      <c r="D159" s="2" t="s">
        <v>87</v>
      </c>
      <c r="E159" s="2" t="s">
        <v>67</v>
      </c>
      <c r="F159" s="2" t="b">
        <v>0</v>
      </c>
      <c r="G159" s="2" t="s">
        <v>571</v>
      </c>
      <c r="H159" s="2" t="str">
        <f t="shared" si="2"/>
        <v>July</v>
      </c>
      <c r="I159" s="7">
        <v>45125.40519675926</v>
      </c>
      <c r="J159" s="2" t="b">
        <v>1</v>
      </c>
      <c r="K159" s="2" t="b">
        <v>0</v>
      </c>
      <c r="L159" s="2" t="s">
        <v>571</v>
      </c>
      <c r="M159" s="2" t="s">
        <v>69</v>
      </c>
      <c r="N159" s="2">
        <v>165000</v>
      </c>
      <c r="O159" s="2"/>
      <c r="P159" s="2" t="s">
        <v>572</v>
      </c>
      <c r="Q159" s="2" t="s">
        <v>573</v>
      </c>
    </row>
    <row r="160" spans="1:17" x14ac:dyDescent="0.2">
      <c r="A160" s="2" t="s">
        <v>91</v>
      </c>
      <c r="B160" s="2" t="s">
        <v>574</v>
      </c>
      <c r="C160" s="2" t="s">
        <v>100</v>
      </c>
      <c r="D160" s="2" t="s">
        <v>94</v>
      </c>
      <c r="E160" s="2" t="s">
        <v>95</v>
      </c>
      <c r="F160" s="2" t="b">
        <v>0</v>
      </c>
      <c r="G160" s="2" t="s">
        <v>82</v>
      </c>
      <c r="H160" s="2" t="str">
        <f t="shared" si="2"/>
        <v>September</v>
      </c>
      <c r="I160" s="7">
        <v>45197.251979166664</v>
      </c>
      <c r="J160" s="2" t="b">
        <v>0</v>
      </c>
      <c r="K160" s="2" t="b">
        <v>0</v>
      </c>
      <c r="L160" s="2" t="s">
        <v>16</v>
      </c>
      <c r="M160" s="2" t="s">
        <v>97</v>
      </c>
      <c r="N160" s="2"/>
      <c r="O160" s="2">
        <v>47.620002749999998</v>
      </c>
      <c r="P160" s="2" t="s">
        <v>101</v>
      </c>
      <c r="Q160" s="2" t="s">
        <v>575</v>
      </c>
    </row>
    <row r="161" spans="1:17" x14ac:dyDescent="0.2">
      <c r="A161" s="2" t="s">
        <v>135</v>
      </c>
      <c r="B161" s="2" t="s">
        <v>576</v>
      </c>
      <c r="C161" s="2" t="s">
        <v>137</v>
      </c>
      <c r="D161" s="2" t="s">
        <v>66</v>
      </c>
      <c r="E161" s="2" t="s">
        <v>67</v>
      </c>
      <c r="F161" s="2" t="b">
        <v>0</v>
      </c>
      <c r="G161" s="2" t="s">
        <v>113</v>
      </c>
      <c r="H161" s="2" t="str">
        <f t="shared" si="2"/>
        <v>August</v>
      </c>
      <c r="I161" s="7">
        <v>45160.250914351855</v>
      </c>
      <c r="J161" s="2" t="b">
        <v>0</v>
      </c>
      <c r="K161" s="2" t="b">
        <v>0</v>
      </c>
      <c r="L161" s="2" t="s">
        <v>16</v>
      </c>
      <c r="M161" s="2" t="s">
        <v>97</v>
      </c>
      <c r="N161" s="2"/>
      <c r="O161" s="2">
        <v>28</v>
      </c>
      <c r="P161" s="2" t="s">
        <v>114</v>
      </c>
      <c r="Q161" s="2" t="s">
        <v>307</v>
      </c>
    </row>
    <row r="162" spans="1:17" x14ac:dyDescent="0.2">
      <c r="A162" s="2" t="s">
        <v>72</v>
      </c>
      <c r="B162" s="2" t="s">
        <v>577</v>
      </c>
      <c r="C162" s="2" t="s">
        <v>104</v>
      </c>
      <c r="D162" s="2" t="s">
        <v>264</v>
      </c>
      <c r="E162" s="2" t="s">
        <v>578</v>
      </c>
      <c r="F162" s="2" t="b">
        <v>1</v>
      </c>
      <c r="G162" s="2" t="s">
        <v>82</v>
      </c>
      <c r="H162" s="2" t="str">
        <f t="shared" si="2"/>
        <v>September</v>
      </c>
      <c r="I162" s="7">
        <v>45178.458402777775</v>
      </c>
      <c r="J162" s="2" t="b">
        <v>0</v>
      </c>
      <c r="K162" s="2" t="b">
        <v>1</v>
      </c>
      <c r="L162" s="2" t="s">
        <v>16</v>
      </c>
      <c r="M162" s="2" t="s">
        <v>97</v>
      </c>
      <c r="N162" s="2"/>
      <c r="O162" s="2">
        <v>45</v>
      </c>
      <c r="P162" s="2" t="s">
        <v>579</v>
      </c>
      <c r="Q162" s="2" t="s">
        <v>580</v>
      </c>
    </row>
    <row r="163" spans="1:17" x14ac:dyDescent="0.2">
      <c r="A163" s="2" t="s">
        <v>231</v>
      </c>
      <c r="B163" s="2" t="s">
        <v>581</v>
      </c>
      <c r="C163" s="2" t="s">
        <v>104</v>
      </c>
      <c r="D163" s="2" t="s">
        <v>66</v>
      </c>
      <c r="E163" s="2" t="s">
        <v>139</v>
      </c>
      <c r="F163" s="2" t="b">
        <v>1</v>
      </c>
      <c r="G163" s="2" t="s">
        <v>96</v>
      </c>
      <c r="H163" s="2" t="str">
        <f t="shared" si="2"/>
        <v>October</v>
      </c>
      <c r="I163" s="7">
        <v>45230.87599537037</v>
      </c>
      <c r="J163" s="2" t="b">
        <v>0</v>
      </c>
      <c r="K163" s="2" t="b">
        <v>0</v>
      </c>
      <c r="L163" s="2" t="s">
        <v>16</v>
      </c>
      <c r="M163" s="2" t="s">
        <v>97</v>
      </c>
      <c r="N163" s="2"/>
      <c r="O163" s="2">
        <v>33.5</v>
      </c>
      <c r="P163" s="2" t="s">
        <v>582</v>
      </c>
      <c r="Q163" s="2"/>
    </row>
    <row r="164" spans="1:17" x14ac:dyDescent="0.2">
      <c r="A164" s="2" t="s">
        <v>72</v>
      </c>
      <c r="B164" s="2" t="s">
        <v>72</v>
      </c>
      <c r="C164" s="2" t="s">
        <v>583</v>
      </c>
      <c r="D164" s="2" t="s">
        <v>94</v>
      </c>
      <c r="E164" s="2" t="s">
        <v>95</v>
      </c>
      <c r="F164" s="2" t="b">
        <v>0</v>
      </c>
      <c r="G164" s="2" t="s">
        <v>140</v>
      </c>
      <c r="H164" s="2" t="str">
        <f t="shared" si="2"/>
        <v>November</v>
      </c>
      <c r="I164" s="7">
        <v>45235.796851851854</v>
      </c>
      <c r="J164" s="2" t="b">
        <v>0</v>
      </c>
      <c r="K164" s="2" t="b">
        <v>0</v>
      </c>
      <c r="L164" s="2" t="s">
        <v>16</v>
      </c>
      <c r="M164" s="2" t="s">
        <v>97</v>
      </c>
      <c r="N164" s="2"/>
      <c r="O164" s="2">
        <v>56.475002289999999</v>
      </c>
      <c r="P164" s="2" t="s">
        <v>584</v>
      </c>
      <c r="Q164" s="2" t="s">
        <v>585</v>
      </c>
    </row>
    <row r="165" spans="1:17" x14ac:dyDescent="0.2">
      <c r="A165" s="2" t="s">
        <v>91</v>
      </c>
      <c r="B165" s="2" t="s">
        <v>91</v>
      </c>
      <c r="C165" s="2" t="s">
        <v>586</v>
      </c>
      <c r="D165" s="2" t="s">
        <v>147</v>
      </c>
      <c r="E165" s="2" t="s">
        <v>67</v>
      </c>
      <c r="F165" s="2" t="b">
        <v>0</v>
      </c>
      <c r="G165" s="2" t="s">
        <v>88</v>
      </c>
      <c r="H165" s="2" t="str">
        <f t="shared" si="2"/>
        <v>April</v>
      </c>
      <c r="I165" s="7">
        <v>45023.293819444443</v>
      </c>
      <c r="J165" s="2" t="b">
        <v>0</v>
      </c>
      <c r="K165" s="2" t="b">
        <v>0</v>
      </c>
      <c r="L165" s="2" t="s">
        <v>16</v>
      </c>
      <c r="M165" s="2" t="s">
        <v>69</v>
      </c>
      <c r="N165" s="2">
        <v>125000</v>
      </c>
      <c r="O165" s="2"/>
      <c r="P165" s="2" t="s">
        <v>587</v>
      </c>
      <c r="Q165" s="2" t="s">
        <v>588</v>
      </c>
    </row>
    <row r="166" spans="1:17" x14ac:dyDescent="0.2">
      <c r="A166" s="2" t="s">
        <v>135</v>
      </c>
      <c r="B166" s="2" t="s">
        <v>589</v>
      </c>
      <c r="C166" s="2" t="s">
        <v>590</v>
      </c>
      <c r="D166" s="2" t="s">
        <v>560</v>
      </c>
      <c r="E166" s="2" t="s">
        <v>67</v>
      </c>
      <c r="F166" s="2" t="b">
        <v>0</v>
      </c>
      <c r="G166" s="2" t="s">
        <v>113</v>
      </c>
      <c r="H166" s="2" t="str">
        <f t="shared" si="2"/>
        <v>May</v>
      </c>
      <c r="I166" s="7">
        <v>45057.875972222224</v>
      </c>
      <c r="J166" s="2" t="b">
        <v>0</v>
      </c>
      <c r="K166" s="2" t="b">
        <v>1</v>
      </c>
      <c r="L166" s="2" t="s">
        <v>16</v>
      </c>
      <c r="M166" s="2" t="s">
        <v>69</v>
      </c>
      <c r="N166" s="2">
        <v>74050</v>
      </c>
      <c r="O166" s="2"/>
      <c r="P166" s="2" t="s">
        <v>591</v>
      </c>
      <c r="Q166" s="2" t="s">
        <v>592</v>
      </c>
    </row>
    <row r="167" spans="1:17" x14ac:dyDescent="0.2">
      <c r="A167" s="2" t="s">
        <v>91</v>
      </c>
      <c r="B167" s="2" t="s">
        <v>593</v>
      </c>
      <c r="C167" s="2" t="s">
        <v>104</v>
      </c>
      <c r="D167" s="2" t="s">
        <v>94</v>
      </c>
      <c r="E167" s="2" t="s">
        <v>195</v>
      </c>
      <c r="F167" s="2" t="b">
        <v>1</v>
      </c>
      <c r="G167" s="2" t="s">
        <v>96</v>
      </c>
      <c r="H167" s="2" t="str">
        <f t="shared" si="2"/>
        <v>October</v>
      </c>
      <c r="I167" s="7">
        <v>45211.879050925927</v>
      </c>
      <c r="J167" s="2" t="b">
        <v>0</v>
      </c>
      <c r="K167" s="2" t="b">
        <v>1</v>
      </c>
      <c r="L167" s="2" t="s">
        <v>16</v>
      </c>
      <c r="M167" s="2" t="s">
        <v>97</v>
      </c>
      <c r="N167" s="2"/>
      <c r="O167" s="2">
        <v>33.114997860000003</v>
      </c>
      <c r="P167" s="2" t="s">
        <v>594</v>
      </c>
      <c r="Q167" s="2" t="s">
        <v>595</v>
      </c>
    </row>
    <row r="168" spans="1:17" x14ac:dyDescent="0.2">
      <c r="A168" s="2" t="s">
        <v>63</v>
      </c>
      <c r="B168" s="2" t="s">
        <v>596</v>
      </c>
      <c r="C168" s="2" t="s">
        <v>597</v>
      </c>
      <c r="D168" s="2" t="s">
        <v>94</v>
      </c>
      <c r="E168" s="2" t="s">
        <v>95</v>
      </c>
      <c r="F168" s="2" t="b">
        <v>0</v>
      </c>
      <c r="G168" s="2" t="s">
        <v>76</v>
      </c>
      <c r="H168" s="2" t="str">
        <f t="shared" si="2"/>
        <v>November</v>
      </c>
      <c r="I168" s="7">
        <v>45235.801377314812</v>
      </c>
      <c r="J168" s="2" t="b">
        <v>0</v>
      </c>
      <c r="K168" s="2" t="b">
        <v>0</v>
      </c>
      <c r="L168" s="2" t="s">
        <v>16</v>
      </c>
      <c r="M168" s="2" t="s">
        <v>97</v>
      </c>
      <c r="N168" s="2"/>
      <c r="O168" s="2">
        <v>40.099998470000003</v>
      </c>
      <c r="P168" s="2" t="s">
        <v>598</v>
      </c>
      <c r="Q168" s="2" t="s">
        <v>387</v>
      </c>
    </row>
    <row r="169" spans="1:17" x14ac:dyDescent="0.2">
      <c r="A169" s="2" t="s">
        <v>91</v>
      </c>
      <c r="B169" s="2" t="s">
        <v>599</v>
      </c>
      <c r="C169" s="2" t="s">
        <v>600</v>
      </c>
      <c r="D169" s="2" t="s">
        <v>87</v>
      </c>
      <c r="E169" s="2" t="s">
        <v>67</v>
      </c>
      <c r="F169" s="2" t="b">
        <v>0</v>
      </c>
      <c r="G169" s="2" t="s">
        <v>600</v>
      </c>
      <c r="H169" s="2" t="str">
        <f t="shared" si="2"/>
        <v>December</v>
      </c>
      <c r="I169" s="7">
        <v>45291.103668981479</v>
      </c>
      <c r="J169" s="2" t="b">
        <v>0</v>
      </c>
      <c r="K169" s="2" t="b">
        <v>0</v>
      </c>
      <c r="L169" s="2" t="s">
        <v>600</v>
      </c>
      <c r="M169" s="2" t="s">
        <v>69</v>
      </c>
      <c r="N169" s="2">
        <v>191000</v>
      </c>
      <c r="O169" s="2"/>
      <c r="P169" s="2" t="s">
        <v>601</v>
      </c>
      <c r="Q169" s="2" t="s">
        <v>489</v>
      </c>
    </row>
    <row r="170" spans="1:17" x14ac:dyDescent="0.2">
      <c r="A170" s="2" t="s">
        <v>72</v>
      </c>
      <c r="B170" s="2" t="s">
        <v>602</v>
      </c>
      <c r="C170" s="2" t="s">
        <v>479</v>
      </c>
      <c r="D170" s="2" t="s">
        <v>147</v>
      </c>
      <c r="E170" s="2" t="s">
        <v>67</v>
      </c>
      <c r="F170" s="2" t="b">
        <v>0</v>
      </c>
      <c r="G170" s="2" t="s">
        <v>96</v>
      </c>
      <c r="H170" s="2" t="str">
        <f t="shared" si="2"/>
        <v>February</v>
      </c>
      <c r="I170" s="7">
        <v>44974.299745370372</v>
      </c>
      <c r="J170" s="2" t="b">
        <v>0</v>
      </c>
      <c r="K170" s="2" t="b">
        <v>0</v>
      </c>
      <c r="L170" s="2" t="s">
        <v>16</v>
      </c>
      <c r="M170" s="2" t="s">
        <v>69</v>
      </c>
      <c r="N170" s="2">
        <v>90000</v>
      </c>
      <c r="O170" s="2"/>
      <c r="P170" s="2" t="s">
        <v>603</v>
      </c>
      <c r="Q170" s="2" t="s">
        <v>604</v>
      </c>
    </row>
    <row r="171" spans="1:17" x14ac:dyDescent="0.2">
      <c r="A171" s="2" t="s">
        <v>79</v>
      </c>
      <c r="B171" s="2" t="s">
        <v>605</v>
      </c>
      <c r="C171" s="2" t="s">
        <v>606</v>
      </c>
      <c r="D171" s="2" t="s">
        <v>94</v>
      </c>
      <c r="E171" s="2" t="s">
        <v>95</v>
      </c>
      <c r="F171" s="2" t="b">
        <v>0</v>
      </c>
      <c r="G171" s="2" t="s">
        <v>82</v>
      </c>
      <c r="H171" s="2" t="str">
        <f t="shared" si="2"/>
        <v>November</v>
      </c>
      <c r="I171" s="7">
        <v>45236.083402777775</v>
      </c>
      <c r="J171" s="2" t="b">
        <v>0</v>
      </c>
      <c r="K171" s="2" t="b">
        <v>0</v>
      </c>
      <c r="L171" s="2" t="s">
        <v>16</v>
      </c>
      <c r="M171" s="2" t="s">
        <v>97</v>
      </c>
      <c r="N171" s="2"/>
      <c r="O171" s="2">
        <v>27.435001369999998</v>
      </c>
      <c r="P171" s="2" t="s">
        <v>607</v>
      </c>
      <c r="Q171" s="2" t="s">
        <v>608</v>
      </c>
    </row>
    <row r="172" spans="1:17" x14ac:dyDescent="0.2">
      <c r="A172" s="2" t="s">
        <v>135</v>
      </c>
      <c r="B172" s="2" t="s">
        <v>135</v>
      </c>
      <c r="C172" s="2" t="s">
        <v>292</v>
      </c>
      <c r="D172" s="2" t="s">
        <v>215</v>
      </c>
      <c r="E172" s="2" t="s">
        <v>67</v>
      </c>
      <c r="F172" s="2" t="b">
        <v>0</v>
      </c>
      <c r="G172" s="2" t="s">
        <v>82</v>
      </c>
      <c r="H172" s="2" t="str">
        <f t="shared" si="2"/>
        <v>April</v>
      </c>
      <c r="I172" s="7">
        <v>45035.000092592592</v>
      </c>
      <c r="J172" s="2" t="b">
        <v>1</v>
      </c>
      <c r="K172" s="2" t="b">
        <v>0</v>
      </c>
      <c r="L172" s="2" t="s">
        <v>16</v>
      </c>
      <c r="M172" s="2" t="s">
        <v>69</v>
      </c>
      <c r="N172" s="2">
        <v>85000</v>
      </c>
      <c r="O172" s="2"/>
      <c r="P172" s="2" t="s">
        <v>328</v>
      </c>
      <c r="Q172" s="2" t="s">
        <v>609</v>
      </c>
    </row>
    <row r="173" spans="1:17" x14ac:dyDescent="0.2">
      <c r="A173" s="2" t="s">
        <v>84</v>
      </c>
      <c r="B173" s="2" t="s">
        <v>610</v>
      </c>
      <c r="C173" s="2" t="s">
        <v>611</v>
      </c>
      <c r="D173" s="2" t="s">
        <v>87</v>
      </c>
      <c r="E173" s="2" t="s">
        <v>67</v>
      </c>
      <c r="F173" s="2" t="b">
        <v>0</v>
      </c>
      <c r="G173" s="2" t="s">
        <v>323</v>
      </c>
      <c r="H173" s="2" t="str">
        <f t="shared" si="2"/>
        <v>February</v>
      </c>
      <c r="I173" s="7">
        <v>44968.26085648148</v>
      </c>
      <c r="J173" s="2" t="b">
        <v>0</v>
      </c>
      <c r="K173" s="2" t="b">
        <v>0</v>
      </c>
      <c r="L173" s="2" t="s">
        <v>323</v>
      </c>
      <c r="M173" s="2" t="s">
        <v>69</v>
      </c>
      <c r="N173" s="2">
        <v>89100</v>
      </c>
      <c r="O173" s="2"/>
      <c r="P173" s="2" t="s">
        <v>612</v>
      </c>
      <c r="Q173" s="2" t="s">
        <v>489</v>
      </c>
    </row>
    <row r="174" spans="1:17" x14ac:dyDescent="0.2">
      <c r="A174" s="2" t="s">
        <v>72</v>
      </c>
      <c r="B174" s="2" t="s">
        <v>72</v>
      </c>
      <c r="C174" s="2" t="s">
        <v>497</v>
      </c>
      <c r="D174" s="2" t="s">
        <v>147</v>
      </c>
      <c r="E174" s="2" t="s">
        <v>67</v>
      </c>
      <c r="F174" s="2" t="b">
        <v>0</v>
      </c>
      <c r="G174" s="2" t="s">
        <v>88</v>
      </c>
      <c r="H174" s="2" t="str">
        <f t="shared" si="2"/>
        <v>August</v>
      </c>
      <c r="I174" s="7">
        <v>45165.255798611113</v>
      </c>
      <c r="J174" s="2" t="b">
        <v>0</v>
      </c>
      <c r="K174" s="2" t="b">
        <v>0</v>
      </c>
      <c r="L174" s="2" t="s">
        <v>16</v>
      </c>
      <c r="M174" s="2" t="s">
        <v>69</v>
      </c>
      <c r="N174" s="2">
        <v>100000</v>
      </c>
      <c r="O174" s="2"/>
      <c r="P174" s="2" t="s">
        <v>613</v>
      </c>
      <c r="Q174" s="2" t="s">
        <v>614</v>
      </c>
    </row>
    <row r="175" spans="1:17" x14ac:dyDescent="0.2">
      <c r="A175" s="2" t="s">
        <v>72</v>
      </c>
      <c r="B175" s="2" t="s">
        <v>615</v>
      </c>
      <c r="C175" s="2" t="s">
        <v>616</v>
      </c>
      <c r="D175" s="2" t="s">
        <v>94</v>
      </c>
      <c r="E175" s="2" t="s">
        <v>95</v>
      </c>
      <c r="F175" s="2" t="b">
        <v>0</v>
      </c>
      <c r="G175" s="2" t="s">
        <v>76</v>
      </c>
      <c r="H175" s="2" t="str">
        <f t="shared" si="2"/>
        <v>October</v>
      </c>
      <c r="I175" s="7">
        <v>45217.865046296298</v>
      </c>
      <c r="J175" s="2" t="b">
        <v>0</v>
      </c>
      <c r="K175" s="2" t="b">
        <v>1</v>
      </c>
      <c r="L175" s="2" t="s">
        <v>16</v>
      </c>
      <c r="M175" s="2" t="s">
        <v>97</v>
      </c>
      <c r="N175" s="2"/>
      <c r="O175" s="2">
        <v>50.870002749999998</v>
      </c>
      <c r="P175" s="2" t="s">
        <v>312</v>
      </c>
      <c r="Q175" s="2" t="s">
        <v>617</v>
      </c>
    </row>
    <row r="176" spans="1:17" x14ac:dyDescent="0.2">
      <c r="A176" s="2" t="s">
        <v>135</v>
      </c>
      <c r="B176" s="2" t="s">
        <v>135</v>
      </c>
      <c r="C176" s="2" t="s">
        <v>357</v>
      </c>
      <c r="D176" s="2" t="s">
        <v>215</v>
      </c>
      <c r="E176" s="2" t="s">
        <v>139</v>
      </c>
      <c r="F176" s="2" t="b">
        <v>0</v>
      </c>
      <c r="G176" s="2" t="s">
        <v>96</v>
      </c>
      <c r="H176" s="2" t="str">
        <f t="shared" si="2"/>
        <v>April</v>
      </c>
      <c r="I176" s="7">
        <v>45043.709074074075</v>
      </c>
      <c r="J176" s="2" t="b">
        <v>1</v>
      </c>
      <c r="K176" s="2" t="b">
        <v>0</v>
      </c>
      <c r="L176" s="2" t="s">
        <v>16</v>
      </c>
      <c r="M176" s="2" t="s">
        <v>97</v>
      </c>
      <c r="N176" s="2"/>
      <c r="O176" s="2">
        <v>62.5</v>
      </c>
      <c r="P176" s="2" t="s">
        <v>618</v>
      </c>
      <c r="Q176" s="2" t="s">
        <v>619</v>
      </c>
    </row>
    <row r="177" spans="1:17" x14ac:dyDescent="0.2">
      <c r="A177" s="2" t="s">
        <v>72</v>
      </c>
      <c r="B177" s="2" t="s">
        <v>620</v>
      </c>
      <c r="C177" s="2" t="s">
        <v>621</v>
      </c>
      <c r="D177" s="2" t="s">
        <v>622</v>
      </c>
      <c r="E177" s="2" t="s">
        <v>67</v>
      </c>
      <c r="F177" s="2" t="b">
        <v>0</v>
      </c>
      <c r="G177" s="2" t="s">
        <v>88</v>
      </c>
      <c r="H177" s="2" t="str">
        <f t="shared" si="2"/>
        <v>September</v>
      </c>
      <c r="I177" s="7">
        <v>45187.995000000003</v>
      </c>
      <c r="J177" s="2" t="b">
        <v>0</v>
      </c>
      <c r="K177" s="2" t="b">
        <v>0</v>
      </c>
      <c r="L177" s="2" t="s">
        <v>16</v>
      </c>
      <c r="M177" s="2" t="s">
        <v>97</v>
      </c>
      <c r="N177" s="2"/>
      <c r="O177" s="2">
        <v>24</v>
      </c>
      <c r="P177" s="2" t="s">
        <v>623</v>
      </c>
      <c r="Q177" s="2" t="s">
        <v>624</v>
      </c>
    </row>
    <row r="178" spans="1:17" x14ac:dyDescent="0.2">
      <c r="A178" s="2" t="s">
        <v>91</v>
      </c>
      <c r="B178" s="2" t="s">
        <v>91</v>
      </c>
      <c r="C178" s="2" t="s">
        <v>625</v>
      </c>
      <c r="D178" s="2" t="s">
        <v>87</v>
      </c>
      <c r="E178" s="2" t="s">
        <v>67</v>
      </c>
      <c r="F178" s="2" t="b">
        <v>0</v>
      </c>
      <c r="G178" s="2" t="s">
        <v>20</v>
      </c>
      <c r="H178" s="2" t="str">
        <f t="shared" si="2"/>
        <v>February</v>
      </c>
      <c r="I178" s="7">
        <v>44984.344108796293</v>
      </c>
      <c r="J178" s="2" t="b">
        <v>0</v>
      </c>
      <c r="K178" s="2" t="b">
        <v>0</v>
      </c>
      <c r="L178" s="2" t="s">
        <v>20</v>
      </c>
      <c r="M178" s="2" t="s">
        <v>69</v>
      </c>
      <c r="N178" s="2">
        <v>88128</v>
      </c>
      <c r="O178" s="2"/>
      <c r="P178" s="2" t="s">
        <v>626</v>
      </c>
      <c r="Q178" s="2"/>
    </row>
    <row r="179" spans="1:17" x14ac:dyDescent="0.2">
      <c r="A179" s="2" t="s">
        <v>91</v>
      </c>
      <c r="B179" s="2" t="s">
        <v>627</v>
      </c>
      <c r="C179" s="2" t="s">
        <v>104</v>
      </c>
      <c r="D179" s="2" t="s">
        <v>94</v>
      </c>
      <c r="E179" s="2" t="s">
        <v>95</v>
      </c>
      <c r="F179" s="2" t="b">
        <v>1</v>
      </c>
      <c r="G179" s="2" t="s">
        <v>76</v>
      </c>
      <c r="H179" s="2" t="str">
        <f t="shared" si="2"/>
        <v>December</v>
      </c>
      <c r="I179" s="7">
        <v>45267.794803240744</v>
      </c>
      <c r="J179" s="2" t="b">
        <v>0</v>
      </c>
      <c r="K179" s="2" t="b">
        <v>0</v>
      </c>
      <c r="L179" s="2" t="s">
        <v>16</v>
      </c>
      <c r="M179" s="2" t="s">
        <v>97</v>
      </c>
      <c r="N179" s="2"/>
      <c r="O179" s="2">
        <v>47.620002749999998</v>
      </c>
      <c r="P179" s="2" t="s">
        <v>628</v>
      </c>
      <c r="Q179" s="2"/>
    </row>
    <row r="180" spans="1:17" x14ac:dyDescent="0.2">
      <c r="A180" s="2" t="s">
        <v>354</v>
      </c>
      <c r="B180" s="2" t="s">
        <v>629</v>
      </c>
      <c r="C180" s="2" t="s">
        <v>520</v>
      </c>
      <c r="D180" s="2" t="s">
        <v>75</v>
      </c>
      <c r="E180" s="2" t="s">
        <v>67</v>
      </c>
      <c r="F180" s="2" t="b">
        <v>0</v>
      </c>
      <c r="G180" s="2" t="s">
        <v>76</v>
      </c>
      <c r="H180" s="2" t="str">
        <f t="shared" si="2"/>
        <v>February</v>
      </c>
      <c r="I180" s="7">
        <v>44971.618078703701</v>
      </c>
      <c r="J180" s="2" t="b">
        <v>0</v>
      </c>
      <c r="K180" s="2" t="b">
        <v>0</v>
      </c>
      <c r="L180" s="2" t="s">
        <v>16</v>
      </c>
      <c r="M180" s="2" t="s">
        <v>69</v>
      </c>
      <c r="N180" s="2">
        <v>105000</v>
      </c>
      <c r="O180" s="2"/>
      <c r="P180" s="2" t="s">
        <v>630</v>
      </c>
      <c r="Q180" s="2" t="s">
        <v>307</v>
      </c>
    </row>
    <row r="181" spans="1:17" x14ac:dyDescent="0.2">
      <c r="A181" s="2" t="s">
        <v>79</v>
      </c>
      <c r="B181" s="2" t="s">
        <v>631</v>
      </c>
      <c r="C181" s="2" t="s">
        <v>432</v>
      </c>
      <c r="D181" s="2" t="s">
        <v>75</v>
      </c>
      <c r="E181" s="2" t="s">
        <v>67</v>
      </c>
      <c r="F181" s="2" t="b">
        <v>0</v>
      </c>
      <c r="G181" s="2" t="s">
        <v>68</v>
      </c>
      <c r="H181" s="2" t="str">
        <f t="shared" si="2"/>
        <v>July</v>
      </c>
      <c r="I181" s="7">
        <v>45117.874872685185</v>
      </c>
      <c r="J181" s="2" t="b">
        <v>0</v>
      </c>
      <c r="K181" s="2" t="b">
        <v>1</v>
      </c>
      <c r="L181" s="2" t="s">
        <v>68</v>
      </c>
      <c r="M181" s="2" t="s">
        <v>69</v>
      </c>
      <c r="N181" s="2">
        <v>78841</v>
      </c>
      <c r="O181" s="2"/>
      <c r="P181" s="2" t="s">
        <v>632</v>
      </c>
      <c r="Q181" s="2" t="s">
        <v>633</v>
      </c>
    </row>
    <row r="182" spans="1:17" x14ac:dyDescent="0.2">
      <c r="A182" s="2" t="s">
        <v>63</v>
      </c>
      <c r="B182" s="2" t="s">
        <v>634</v>
      </c>
      <c r="C182" s="2" t="s">
        <v>635</v>
      </c>
      <c r="D182" s="2" t="s">
        <v>66</v>
      </c>
      <c r="E182" s="2" t="s">
        <v>67</v>
      </c>
      <c r="F182" s="2" t="b">
        <v>0</v>
      </c>
      <c r="G182" s="2" t="s">
        <v>88</v>
      </c>
      <c r="H182" s="2" t="str">
        <f t="shared" si="2"/>
        <v>February</v>
      </c>
      <c r="I182" s="7">
        <v>44968.422106481485</v>
      </c>
      <c r="J182" s="2" t="b">
        <v>0</v>
      </c>
      <c r="K182" s="2" t="b">
        <v>1</v>
      </c>
      <c r="L182" s="2" t="s">
        <v>16</v>
      </c>
      <c r="M182" s="2" t="s">
        <v>69</v>
      </c>
      <c r="N182" s="2">
        <v>116700</v>
      </c>
      <c r="O182" s="2"/>
      <c r="P182" s="2" t="s">
        <v>70</v>
      </c>
      <c r="Q182" s="2" t="s">
        <v>636</v>
      </c>
    </row>
    <row r="183" spans="1:17" x14ac:dyDescent="0.2">
      <c r="A183" s="2" t="s">
        <v>72</v>
      </c>
      <c r="B183" s="2" t="s">
        <v>637</v>
      </c>
      <c r="C183" s="2" t="s">
        <v>638</v>
      </c>
      <c r="D183" s="2" t="s">
        <v>118</v>
      </c>
      <c r="E183" s="2" t="s">
        <v>67</v>
      </c>
      <c r="F183" s="2" t="b">
        <v>0</v>
      </c>
      <c r="G183" s="2" t="s">
        <v>88</v>
      </c>
      <c r="H183" s="2" t="str">
        <f t="shared" si="2"/>
        <v>January</v>
      </c>
      <c r="I183" s="7">
        <v>44952.675335648149</v>
      </c>
      <c r="J183" s="2" t="b">
        <v>0</v>
      </c>
      <c r="K183" s="2" t="b">
        <v>1</v>
      </c>
      <c r="L183" s="2" t="s">
        <v>16</v>
      </c>
      <c r="M183" s="2" t="s">
        <v>69</v>
      </c>
      <c r="N183" s="2">
        <v>75000</v>
      </c>
      <c r="O183" s="2"/>
      <c r="P183" s="2" t="s">
        <v>639</v>
      </c>
      <c r="Q183" s="2" t="s">
        <v>640</v>
      </c>
    </row>
    <row r="184" spans="1:17" x14ac:dyDescent="0.2">
      <c r="A184" s="2" t="s">
        <v>72</v>
      </c>
      <c r="B184" s="2" t="s">
        <v>641</v>
      </c>
      <c r="C184" s="2" t="s">
        <v>399</v>
      </c>
      <c r="D184" s="2" t="s">
        <v>94</v>
      </c>
      <c r="E184" s="2" t="s">
        <v>67</v>
      </c>
      <c r="F184" s="2" t="b">
        <v>0</v>
      </c>
      <c r="G184" s="2" t="s">
        <v>76</v>
      </c>
      <c r="H184" s="2" t="str">
        <f t="shared" si="2"/>
        <v>September</v>
      </c>
      <c r="I184" s="7">
        <v>45193.601805555554</v>
      </c>
      <c r="J184" s="2" t="b">
        <v>0</v>
      </c>
      <c r="K184" s="2" t="b">
        <v>0</v>
      </c>
      <c r="L184" s="2" t="s">
        <v>16</v>
      </c>
      <c r="M184" s="2" t="s">
        <v>97</v>
      </c>
      <c r="N184" s="2"/>
      <c r="O184" s="2">
        <v>33.430000309999997</v>
      </c>
      <c r="P184" s="2" t="s">
        <v>642</v>
      </c>
      <c r="Q184" s="2" t="s">
        <v>643</v>
      </c>
    </row>
    <row r="185" spans="1:17" x14ac:dyDescent="0.2">
      <c r="A185" s="2" t="s">
        <v>107</v>
      </c>
      <c r="B185" s="2" t="s">
        <v>644</v>
      </c>
      <c r="C185" s="2" t="s">
        <v>203</v>
      </c>
      <c r="D185" s="2" t="s">
        <v>118</v>
      </c>
      <c r="E185" s="2" t="s">
        <v>67</v>
      </c>
      <c r="F185" s="2" t="b">
        <v>0</v>
      </c>
      <c r="G185" s="2" t="s">
        <v>76</v>
      </c>
      <c r="H185" s="2" t="str">
        <f t="shared" si="2"/>
        <v>October</v>
      </c>
      <c r="I185" s="7">
        <v>45209.57136574074</v>
      </c>
      <c r="J185" s="2" t="b">
        <v>0</v>
      </c>
      <c r="K185" s="2" t="b">
        <v>0</v>
      </c>
      <c r="L185" s="2" t="s">
        <v>16</v>
      </c>
      <c r="M185" s="2" t="s">
        <v>69</v>
      </c>
      <c r="N185" s="2">
        <v>117500</v>
      </c>
      <c r="O185" s="2"/>
      <c r="P185" s="2" t="s">
        <v>645</v>
      </c>
      <c r="Q185" s="2" t="s">
        <v>646</v>
      </c>
    </row>
    <row r="186" spans="1:17" x14ac:dyDescent="0.2">
      <c r="A186" s="2" t="s">
        <v>91</v>
      </c>
      <c r="B186" s="2" t="s">
        <v>647</v>
      </c>
      <c r="C186" s="2" t="s">
        <v>311</v>
      </c>
      <c r="D186" s="2" t="s">
        <v>648</v>
      </c>
      <c r="E186" s="2" t="s">
        <v>67</v>
      </c>
      <c r="F186" s="2" t="b">
        <v>0</v>
      </c>
      <c r="G186" s="2" t="s">
        <v>140</v>
      </c>
      <c r="H186" s="2" t="str">
        <f t="shared" si="2"/>
        <v>August</v>
      </c>
      <c r="I186" s="7">
        <v>45148.586527777778</v>
      </c>
      <c r="J186" s="2" t="b">
        <v>0</v>
      </c>
      <c r="K186" s="2" t="b">
        <v>0</v>
      </c>
      <c r="L186" s="2" t="s">
        <v>16</v>
      </c>
      <c r="M186" s="2" t="s">
        <v>69</v>
      </c>
      <c r="N186" s="2">
        <v>95000</v>
      </c>
      <c r="O186" s="2"/>
      <c r="P186" s="2" t="s">
        <v>649</v>
      </c>
      <c r="Q186" s="2" t="s">
        <v>650</v>
      </c>
    </row>
    <row r="187" spans="1:17" x14ac:dyDescent="0.2">
      <c r="A187" s="2" t="s">
        <v>107</v>
      </c>
      <c r="B187" s="2" t="s">
        <v>651</v>
      </c>
      <c r="C187" s="2" t="s">
        <v>150</v>
      </c>
      <c r="D187" s="2" t="s">
        <v>237</v>
      </c>
      <c r="E187" s="2" t="s">
        <v>67</v>
      </c>
      <c r="F187" s="2" t="b">
        <v>0</v>
      </c>
      <c r="G187" s="2" t="s">
        <v>68</v>
      </c>
      <c r="H187" s="2" t="str">
        <f t="shared" si="2"/>
        <v>July</v>
      </c>
      <c r="I187" s="7">
        <v>45112.46497685185</v>
      </c>
      <c r="J187" s="2" t="b">
        <v>0</v>
      </c>
      <c r="K187" s="2" t="b">
        <v>1</v>
      </c>
      <c r="L187" s="2" t="s">
        <v>68</v>
      </c>
      <c r="M187" s="2" t="s">
        <v>69</v>
      </c>
      <c r="N187" s="2">
        <v>173500</v>
      </c>
      <c r="O187" s="2"/>
      <c r="P187" s="2" t="s">
        <v>157</v>
      </c>
      <c r="Q187" s="2" t="s">
        <v>652</v>
      </c>
    </row>
    <row r="188" spans="1:17" x14ac:dyDescent="0.2">
      <c r="A188" s="2" t="s">
        <v>72</v>
      </c>
      <c r="B188" s="2" t="s">
        <v>653</v>
      </c>
      <c r="C188" s="2" t="s">
        <v>654</v>
      </c>
      <c r="D188" s="2" t="s">
        <v>655</v>
      </c>
      <c r="E188" s="2" t="s">
        <v>67</v>
      </c>
      <c r="F188" s="2" t="b">
        <v>0</v>
      </c>
      <c r="G188" s="2" t="s">
        <v>82</v>
      </c>
      <c r="H188" s="2" t="str">
        <f t="shared" si="2"/>
        <v>February</v>
      </c>
      <c r="I188" s="7">
        <v>44978.477175925924</v>
      </c>
      <c r="J188" s="2" t="b">
        <v>0</v>
      </c>
      <c r="K188" s="2" t="b">
        <v>1</v>
      </c>
      <c r="L188" s="2" t="s">
        <v>16</v>
      </c>
      <c r="M188" s="2" t="s">
        <v>69</v>
      </c>
      <c r="N188" s="2">
        <v>107850</v>
      </c>
      <c r="O188" s="2"/>
      <c r="P188" s="2" t="s">
        <v>656</v>
      </c>
      <c r="Q188" s="2" t="s">
        <v>657</v>
      </c>
    </row>
    <row r="189" spans="1:17" x14ac:dyDescent="0.2">
      <c r="A189" s="2" t="s">
        <v>107</v>
      </c>
      <c r="B189" s="2" t="s">
        <v>107</v>
      </c>
      <c r="C189" s="2" t="s">
        <v>485</v>
      </c>
      <c r="D189" s="2" t="s">
        <v>87</v>
      </c>
      <c r="E189" s="2" t="s">
        <v>67</v>
      </c>
      <c r="F189" s="2" t="b">
        <v>0</v>
      </c>
      <c r="G189" s="2" t="s">
        <v>113</v>
      </c>
      <c r="H189" s="2" t="str">
        <f t="shared" si="2"/>
        <v>July</v>
      </c>
      <c r="I189" s="7">
        <v>45111.713206018518</v>
      </c>
      <c r="J189" s="2" t="b">
        <v>0</v>
      </c>
      <c r="K189" s="2" t="b">
        <v>1</v>
      </c>
      <c r="L189" s="2" t="s">
        <v>16</v>
      </c>
      <c r="M189" s="2" t="s">
        <v>69</v>
      </c>
      <c r="N189" s="2">
        <v>147500</v>
      </c>
      <c r="O189" s="2"/>
      <c r="P189" s="2" t="s">
        <v>658</v>
      </c>
      <c r="Q189" s="2" t="s">
        <v>659</v>
      </c>
    </row>
    <row r="190" spans="1:17" x14ac:dyDescent="0.2">
      <c r="A190" s="2" t="s">
        <v>72</v>
      </c>
      <c r="B190" s="2" t="s">
        <v>72</v>
      </c>
      <c r="C190" s="2" t="s">
        <v>104</v>
      </c>
      <c r="D190" s="2" t="s">
        <v>118</v>
      </c>
      <c r="E190" s="2" t="s">
        <v>67</v>
      </c>
      <c r="F190" s="2" t="b">
        <v>1</v>
      </c>
      <c r="G190" s="2" t="s">
        <v>140</v>
      </c>
      <c r="H190" s="2" t="str">
        <f t="shared" si="2"/>
        <v>January</v>
      </c>
      <c r="I190" s="7">
        <v>44944.634004629632</v>
      </c>
      <c r="J190" s="2" t="b">
        <v>1</v>
      </c>
      <c r="K190" s="2" t="b">
        <v>0</v>
      </c>
      <c r="L190" s="2" t="s">
        <v>16</v>
      </c>
      <c r="M190" s="2" t="s">
        <v>69</v>
      </c>
      <c r="N190" s="2">
        <v>105000</v>
      </c>
      <c r="O190" s="2"/>
      <c r="P190" s="2" t="s">
        <v>660</v>
      </c>
      <c r="Q190" s="2" t="s">
        <v>661</v>
      </c>
    </row>
    <row r="191" spans="1:17" x14ac:dyDescent="0.2">
      <c r="A191" s="2" t="s">
        <v>72</v>
      </c>
      <c r="B191" s="2" t="s">
        <v>72</v>
      </c>
      <c r="C191" s="2" t="s">
        <v>662</v>
      </c>
      <c r="D191" s="2" t="s">
        <v>118</v>
      </c>
      <c r="E191" s="2" t="s">
        <v>67</v>
      </c>
      <c r="F191" s="2" t="b">
        <v>0</v>
      </c>
      <c r="G191" s="2" t="s">
        <v>96</v>
      </c>
      <c r="H191" s="2" t="str">
        <f t="shared" si="2"/>
        <v>March</v>
      </c>
      <c r="I191" s="7">
        <v>44999.801388888889</v>
      </c>
      <c r="J191" s="2" t="b">
        <v>0</v>
      </c>
      <c r="K191" s="2" t="b">
        <v>0</v>
      </c>
      <c r="L191" s="2" t="s">
        <v>16</v>
      </c>
      <c r="M191" s="2" t="s">
        <v>69</v>
      </c>
      <c r="N191" s="2">
        <v>110000</v>
      </c>
      <c r="O191" s="2"/>
      <c r="P191" s="2" t="s">
        <v>328</v>
      </c>
      <c r="Q191" s="2" t="s">
        <v>663</v>
      </c>
    </row>
    <row r="192" spans="1:17" x14ac:dyDescent="0.2">
      <c r="A192" s="2" t="s">
        <v>72</v>
      </c>
      <c r="B192" s="2" t="s">
        <v>664</v>
      </c>
      <c r="C192" s="2" t="s">
        <v>122</v>
      </c>
      <c r="D192" s="2" t="s">
        <v>118</v>
      </c>
      <c r="E192" s="2" t="s">
        <v>67</v>
      </c>
      <c r="F192" s="2" t="b">
        <v>0</v>
      </c>
      <c r="G192" s="2" t="s">
        <v>76</v>
      </c>
      <c r="H192" s="2" t="str">
        <f t="shared" si="2"/>
        <v>March</v>
      </c>
      <c r="I192" s="7">
        <v>44992.930289351854</v>
      </c>
      <c r="J192" s="2" t="b">
        <v>0</v>
      </c>
      <c r="K192" s="2" t="b">
        <v>0</v>
      </c>
      <c r="L192" s="2" t="s">
        <v>16</v>
      </c>
      <c r="M192" s="2" t="s">
        <v>69</v>
      </c>
      <c r="N192" s="2">
        <v>145000</v>
      </c>
      <c r="O192" s="2"/>
      <c r="P192" s="2" t="s">
        <v>665</v>
      </c>
      <c r="Q192" s="2" t="s">
        <v>580</v>
      </c>
    </row>
    <row r="193" spans="1:17" x14ac:dyDescent="0.2">
      <c r="A193" s="2" t="s">
        <v>107</v>
      </c>
      <c r="B193" s="2" t="s">
        <v>107</v>
      </c>
      <c r="C193" s="2" t="s">
        <v>666</v>
      </c>
      <c r="D193" s="2" t="s">
        <v>118</v>
      </c>
      <c r="E193" s="2" t="s">
        <v>139</v>
      </c>
      <c r="F193" s="2" t="b">
        <v>0</v>
      </c>
      <c r="G193" s="2" t="s">
        <v>82</v>
      </c>
      <c r="H193" s="2" t="str">
        <f t="shared" si="2"/>
        <v>June</v>
      </c>
      <c r="I193" s="7">
        <v>45082.547291666669</v>
      </c>
      <c r="J193" s="2" t="b">
        <v>0</v>
      </c>
      <c r="K193" s="2" t="b">
        <v>0</v>
      </c>
      <c r="L193" s="2" t="s">
        <v>16</v>
      </c>
      <c r="M193" s="2" t="s">
        <v>97</v>
      </c>
      <c r="N193" s="2"/>
      <c r="O193" s="2">
        <v>85</v>
      </c>
      <c r="P193" s="2" t="s">
        <v>667</v>
      </c>
      <c r="Q193" s="2" t="s">
        <v>668</v>
      </c>
    </row>
    <row r="194" spans="1:17" x14ac:dyDescent="0.2">
      <c r="A194" s="2" t="s">
        <v>91</v>
      </c>
      <c r="B194" s="2" t="s">
        <v>669</v>
      </c>
      <c r="C194" s="2" t="s">
        <v>476</v>
      </c>
      <c r="D194" s="2" t="s">
        <v>118</v>
      </c>
      <c r="E194" s="2" t="s">
        <v>67</v>
      </c>
      <c r="F194" s="2" t="b">
        <v>0</v>
      </c>
      <c r="G194" s="2" t="s">
        <v>88</v>
      </c>
      <c r="H194" s="2" t="str">
        <f t="shared" si="2"/>
        <v>March</v>
      </c>
      <c r="I194" s="7">
        <v>45007.925138888888</v>
      </c>
      <c r="J194" s="2" t="b">
        <v>0</v>
      </c>
      <c r="K194" s="2" t="b">
        <v>0</v>
      </c>
      <c r="L194" s="2" t="s">
        <v>16</v>
      </c>
      <c r="M194" s="2" t="s">
        <v>69</v>
      </c>
      <c r="N194" s="2">
        <v>106500</v>
      </c>
      <c r="O194" s="2"/>
      <c r="P194" s="2" t="s">
        <v>182</v>
      </c>
      <c r="Q194" s="2" t="s">
        <v>670</v>
      </c>
    </row>
    <row r="195" spans="1:17" x14ac:dyDescent="0.2">
      <c r="A195" s="2" t="s">
        <v>135</v>
      </c>
      <c r="B195" s="2" t="s">
        <v>671</v>
      </c>
      <c r="C195" s="2" t="s">
        <v>104</v>
      </c>
      <c r="D195" s="2" t="s">
        <v>94</v>
      </c>
      <c r="E195" s="2" t="s">
        <v>67</v>
      </c>
      <c r="F195" s="2" t="b">
        <v>1</v>
      </c>
      <c r="G195" s="2" t="s">
        <v>96</v>
      </c>
      <c r="H195" s="2" t="str">
        <f t="shared" ref="H195:H201" si="3">TEXT(I195,"mmmm")</f>
        <v>August</v>
      </c>
      <c r="I195" s="7">
        <v>45153.750879629632</v>
      </c>
      <c r="J195" s="2" t="b">
        <v>0</v>
      </c>
      <c r="K195" s="2" t="b">
        <v>0</v>
      </c>
      <c r="L195" s="2" t="s">
        <v>16</v>
      </c>
      <c r="M195" s="2" t="s">
        <v>97</v>
      </c>
      <c r="N195" s="2"/>
      <c r="O195" s="2">
        <v>16.510000229999999</v>
      </c>
      <c r="P195" s="2" t="s">
        <v>672</v>
      </c>
      <c r="Q195" s="2" t="s">
        <v>673</v>
      </c>
    </row>
    <row r="196" spans="1:17" x14ac:dyDescent="0.2">
      <c r="A196" s="2" t="s">
        <v>72</v>
      </c>
      <c r="B196" s="2" t="s">
        <v>494</v>
      </c>
      <c r="C196" s="2" t="s">
        <v>104</v>
      </c>
      <c r="D196" s="2" t="s">
        <v>75</v>
      </c>
      <c r="E196" s="2" t="s">
        <v>67</v>
      </c>
      <c r="F196" s="2" t="b">
        <v>1</v>
      </c>
      <c r="G196" s="2" t="s">
        <v>113</v>
      </c>
      <c r="H196" s="2" t="str">
        <f t="shared" si="3"/>
        <v>May</v>
      </c>
      <c r="I196" s="7">
        <v>45077.879861111112</v>
      </c>
      <c r="J196" s="2" t="b">
        <v>0</v>
      </c>
      <c r="K196" s="2" t="b">
        <v>1</v>
      </c>
      <c r="L196" s="2" t="s">
        <v>16</v>
      </c>
      <c r="M196" s="2" t="s">
        <v>97</v>
      </c>
      <c r="N196" s="2"/>
      <c r="O196" s="2">
        <v>70</v>
      </c>
      <c r="P196" s="2" t="s">
        <v>182</v>
      </c>
      <c r="Q196" s="2" t="s">
        <v>674</v>
      </c>
    </row>
    <row r="197" spans="1:17" x14ac:dyDescent="0.2">
      <c r="A197" s="2" t="s">
        <v>135</v>
      </c>
      <c r="B197" s="2" t="s">
        <v>135</v>
      </c>
      <c r="C197" s="2" t="s">
        <v>675</v>
      </c>
      <c r="D197" s="2" t="s">
        <v>413</v>
      </c>
      <c r="E197" s="2" t="s">
        <v>67</v>
      </c>
      <c r="F197" s="2" t="b">
        <v>0</v>
      </c>
      <c r="G197" s="2" t="s">
        <v>96</v>
      </c>
      <c r="H197" s="2" t="str">
        <f t="shared" si="3"/>
        <v>December</v>
      </c>
      <c r="I197" s="7">
        <v>45281.459085648145</v>
      </c>
      <c r="J197" s="2" t="b">
        <v>0</v>
      </c>
      <c r="K197" s="2" t="b">
        <v>0</v>
      </c>
      <c r="L197" s="2" t="s">
        <v>16</v>
      </c>
      <c r="M197" s="2" t="s">
        <v>69</v>
      </c>
      <c r="N197" s="2">
        <v>65000</v>
      </c>
      <c r="O197" s="2"/>
      <c r="P197" s="2" t="s">
        <v>676</v>
      </c>
      <c r="Q197" s="2" t="s">
        <v>677</v>
      </c>
    </row>
    <row r="198" spans="1:17" x14ac:dyDescent="0.2">
      <c r="A198" s="2" t="s">
        <v>91</v>
      </c>
      <c r="B198" s="2" t="s">
        <v>678</v>
      </c>
      <c r="C198" s="2" t="s">
        <v>679</v>
      </c>
      <c r="D198" s="2" t="s">
        <v>94</v>
      </c>
      <c r="E198" s="2" t="s">
        <v>95</v>
      </c>
      <c r="F198" s="2" t="b">
        <v>0</v>
      </c>
      <c r="G198" s="2" t="s">
        <v>76</v>
      </c>
      <c r="H198" s="2" t="str">
        <f t="shared" si="3"/>
        <v>September</v>
      </c>
      <c r="I198" s="7">
        <v>45181.837511574071</v>
      </c>
      <c r="J198" s="2" t="b">
        <v>0</v>
      </c>
      <c r="K198" s="2" t="b">
        <v>0</v>
      </c>
      <c r="L198" s="2" t="s">
        <v>16</v>
      </c>
      <c r="M198" s="2" t="s">
        <v>97</v>
      </c>
      <c r="N198" s="2"/>
      <c r="O198" s="2">
        <v>47.620002749999998</v>
      </c>
      <c r="P198" s="2" t="s">
        <v>680</v>
      </c>
      <c r="Q198" s="2" t="s">
        <v>681</v>
      </c>
    </row>
    <row r="199" spans="1:17" x14ac:dyDescent="0.2">
      <c r="A199" s="2" t="s">
        <v>72</v>
      </c>
      <c r="B199" s="2" t="s">
        <v>72</v>
      </c>
      <c r="C199" s="2" t="s">
        <v>682</v>
      </c>
      <c r="D199" s="2" t="s">
        <v>147</v>
      </c>
      <c r="E199" s="2" t="s">
        <v>67</v>
      </c>
      <c r="F199" s="2" t="b">
        <v>0</v>
      </c>
      <c r="G199" s="2" t="s">
        <v>96</v>
      </c>
      <c r="H199" s="2" t="str">
        <f t="shared" si="3"/>
        <v>August</v>
      </c>
      <c r="I199" s="7">
        <v>45163.465081018519</v>
      </c>
      <c r="J199" s="2" t="b">
        <v>0</v>
      </c>
      <c r="K199" s="2" t="b">
        <v>1</v>
      </c>
      <c r="L199" s="2" t="s">
        <v>16</v>
      </c>
      <c r="M199" s="2" t="s">
        <v>69</v>
      </c>
      <c r="N199" s="2">
        <v>90000</v>
      </c>
      <c r="O199" s="2"/>
      <c r="P199" s="2" t="s">
        <v>683</v>
      </c>
      <c r="Q199" s="2" t="s">
        <v>684</v>
      </c>
    </row>
    <row r="200" spans="1:17" x14ac:dyDescent="0.2">
      <c r="A200" s="2" t="s">
        <v>91</v>
      </c>
      <c r="B200" s="2" t="s">
        <v>685</v>
      </c>
      <c r="C200" s="2" t="s">
        <v>122</v>
      </c>
      <c r="D200" s="2" t="s">
        <v>147</v>
      </c>
      <c r="E200" s="2" t="s">
        <v>67</v>
      </c>
      <c r="F200" s="2" t="b">
        <v>0</v>
      </c>
      <c r="G200" s="2" t="s">
        <v>113</v>
      </c>
      <c r="H200" s="2" t="str">
        <f t="shared" si="3"/>
        <v>April</v>
      </c>
      <c r="I200" s="7">
        <v>45041.377280092594</v>
      </c>
      <c r="J200" s="2" t="b">
        <v>0</v>
      </c>
      <c r="K200" s="2" t="b">
        <v>0</v>
      </c>
      <c r="L200" s="2" t="s">
        <v>16</v>
      </c>
      <c r="M200" s="2" t="s">
        <v>69</v>
      </c>
      <c r="N200" s="2">
        <v>100000</v>
      </c>
      <c r="O200" s="2"/>
      <c r="P200" s="2" t="s">
        <v>686</v>
      </c>
      <c r="Q200" s="2" t="s">
        <v>687</v>
      </c>
    </row>
    <row r="201" spans="1:17" x14ac:dyDescent="0.2">
      <c r="A201" s="2" t="s">
        <v>135</v>
      </c>
      <c r="B201" s="2" t="s">
        <v>688</v>
      </c>
      <c r="C201" s="2" t="s">
        <v>689</v>
      </c>
      <c r="D201" s="2" t="s">
        <v>94</v>
      </c>
      <c r="E201" s="2" t="s">
        <v>67</v>
      </c>
      <c r="F201" s="2" t="b">
        <v>0</v>
      </c>
      <c r="G201" s="2" t="s">
        <v>82</v>
      </c>
      <c r="H201" s="2" t="str">
        <f t="shared" si="3"/>
        <v>August</v>
      </c>
      <c r="I201" s="7">
        <v>45155.917222222219</v>
      </c>
      <c r="J201" s="2" t="b">
        <v>0</v>
      </c>
      <c r="K201" s="2" t="b">
        <v>1</v>
      </c>
      <c r="L201" s="2" t="s">
        <v>16</v>
      </c>
      <c r="M201" s="2" t="s">
        <v>97</v>
      </c>
      <c r="N201" s="2"/>
      <c r="O201" s="2">
        <v>22.69499969</v>
      </c>
      <c r="P201" s="2" t="s">
        <v>690</v>
      </c>
      <c r="Q201" s="2" t="s">
        <v>691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B9BB1-45F3-9D4E-9C08-1342F7B3FCC1}">
  <dimension ref="A1"/>
  <sheetViews>
    <sheetView tabSelected="1" workbookViewId="0">
      <selection activeCell="J30" sqref="J30"/>
    </sheetView>
  </sheetViews>
  <sheetFormatPr baseColWidth="10" defaultRowHeight="16" x14ac:dyDescent="0.2"/>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agenda</vt:lpstr>
      <vt:lpstr>data</vt:lpstr>
      <vt:lpstr>Sheet3</vt:lpstr>
      <vt:lpstr>employee_data</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SAHU</dc:creator>
  <cp:lastModifiedBy>UTKARSH SAHU</cp:lastModifiedBy>
  <dcterms:created xsi:type="dcterms:W3CDTF">2026-03-07T15:36:05Z</dcterms:created>
  <dcterms:modified xsi:type="dcterms:W3CDTF">2026-03-07T17:30:06Z</dcterms:modified>
</cp:coreProperties>
</file>