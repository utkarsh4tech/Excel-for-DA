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38B8FDB6-C5AD-6242-854E-92EFC65F5AF8}" xr6:coauthVersionLast="47" xr6:coauthVersionMax="47" xr10:uidLastSave="{00000000-0000-0000-0000-000000000000}"/>
  <bookViews>
    <workbookView xWindow="0" yWindow="600" windowWidth="28800" windowHeight="17400" activeTab="1" xr2:uid="{55375F0C-4545-7940-A7A2-CB3FCCABC82D}"/>
  </bookViews>
  <sheets>
    <sheet name="agend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2" l="1"/>
  <c r="F134" i="2"/>
  <c r="F132" i="2"/>
  <c r="F127" i="2"/>
  <c r="G77" i="2"/>
  <c r="E109" i="2"/>
  <c r="E106" i="2"/>
  <c r="G84" i="2"/>
  <c r="H86" i="2"/>
  <c r="G60" i="2"/>
  <c r="G58" i="2"/>
  <c r="G55" i="2"/>
  <c r="G48" i="2"/>
  <c r="G15" i="2"/>
  <c r="G6" i="2"/>
  <c r="G10" i="2"/>
  <c r="G39" i="2"/>
  <c r="G34" i="2"/>
  <c r="I10" i="2"/>
  <c r="I34" i="2"/>
  <c r="H132" i="2"/>
  <c r="I6" i="2"/>
  <c r="H127" i="2"/>
  <c r="I55" i="2"/>
  <c r="F109" i="2"/>
  <c r="G51" i="2"/>
  <c r="F106" i="2"/>
  <c r="I15" i="2"/>
  <c r="G79" i="2"/>
  <c r="I39" i="2"/>
  <c r="I60" i="2"/>
  <c r="H134" i="2"/>
</calcChain>
</file>

<file path=xl/sharedStrings.xml><?xml version="1.0" encoding="utf-8"?>
<sst xmlns="http://schemas.openxmlformats.org/spreadsheetml/2006/main" count="135" uniqueCount="67">
  <si>
    <t>Arithmetic &amp; Statistical Functions</t>
  </si>
  <si>
    <t>SUM</t>
  </si>
  <si>
    <t>COUNT</t>
  </si>
  <si>
    <t>COUNTA</t>
  </si>
  <si>
    <t>COUNTBLANK</t>
  </si>
  <si>
    <t>COUNTIF</t>
  </si>
  <si>
    <t>STATE</t>
  </si>
  <si>
    <t>Salary</t>
  </si>
  <si>
    <t>AGE</t>
  </si>
  <si>
    <t>MH</t>
  </si>
  <si>
    <t>UP</t>
  </si>
  <si>
    <t>BH</t>
  </si>
  <si>
    <t>PU</t>
  </si>
  <si>
    <t>TN</t>
  </si>
  <si>
    <t>COUNT people who are above &gt; 18</t>
  </si>
  <si>
    <t>COUNT people from maharastra</t>
  </si>
  <si>
    <t>Count people with salaray &gt;= 10K</t>
  </si>
  <si>
    <t>COUNTIFS</t>
  </si>
  <si>
    <t>COUNT only when ALL conditions are true ( &gt;=1 )</t>
  </si>
  <si>
    <t>COUNT only when the condition is true ( =1 )</t>
  </si>
  <si>
    <t>RANGE ( WHAT is to be counted)</t>
  </si>
  <si>
    <t>CRITERIA ( The condition which is to be fulfilled)</t>
  </si>
  <si>
    <t>Count people from MH with salaray &gt;= 10K</t>
  </si>
  <si>
    <t>Count people with salaray &gt;= 10000 but &lt;20000</t>
  </si>
  <si>
    <t>SUMIF</t>
  </si>
  <si>
    <t>SUMIFS</t>
  </si>
  <si>
    <t>SUM only when the condition is true ( =1 )</t>
  </si>
  <si>
    <t>SUM only when ALL conditions are true ( &gt;=1 )</t>
  </si>
  <si>
    <t>Tell sum of salary for people &lt;=18</t>
  </si>
  <si>
    <t>Range</t>
  </si>
  <si>
    <t>Where the condition is to be evaluated</t>
  </si>
  <si>
    <t>Criteria</t>
  </si>
  <si>
    <t>The condition to be evaluated</t>
  </si>
  <si>
    <t>SUM RANGE</t>
  </si>
  <si>
    <t>the data to be added</t>
  </si>
  <si>
    <t>Whar us SUM of salary of people fro, BH</t>
  </si>
  <si>
    <r>
      <t xml:space="preserve">What is sum of age of people </t>
    </r>
    <r>
      <rPr>
        <b/>
        <sz val="12"/>
        <color theme="1"/>
        <rFont val="Aptos Narrow"/>
        <scheme val="minor"/>
      </rPr>
      <t>not from UP</t>
    </r>
  </si>
  <si>
    <t>Not Eql</t>
  </si>
  <si>
    <t>Sum of age of people from MH &gt;=18</t>
  </si>
  <si>
    <t>SUM of salary for people &lt;=18</t>
  </si>
  <si>
    <t>AVERAGE</t>
  </si>
  <si>
    <t>Find the arithmetic AVG, of the given num</t>
  </si>
  <si>
    <t>AVERAGE ( arithmetic mean )</t>
  </si>
  <si>
    <t>Numbers</t>
  </si>
  <si>
    <t>AVERAGEIF</t>
  </si>
  <si>
    <t>AVERAGEIFS</t>
  </si>
  <si>
    <t>AVERAGE only when the condition is true ( =1 )</t>
  </si>
  <si>
    <t>AVERAGE only when ALL conditions are true ( &gt;=1 )</t>
  </si>
  <si>
    <t>AVERAGE of age of people from MH &gt;=18</t>
  </si>
  <si>
    <t>AGERAGE Salary of a person in UP</t>
  </si>
  <si>
    <t>Address</t>
  </si>
  <si>
    <t>City</t>
  </si>
  <si>
    <t>Value (thousands)</t>
  </si>
  <si>
    <t>Units</t>
  </si>
  <si>
    <t>123 Balboa Ave</t>
  </si>
  <si>
    <t>San Diego</t>
  </si>
  <si>
    <t>999 Main St</t>
  </si>
  <si>
    <t>456 Ave A</t>
  </si>
  <si>
    <t>Los Angeles</t>
  </si>
  <si>
    <t>555 La Jolla</t>
  </si>
  <si>
    <t>999 Ave E</t>
  </si>
  <si>
    <t>111 Ave A</t>
  </si>
  <si>
    <t>Conditions</t>
  </si>
  <si>
    <t>SUM of  UNITS for all the cities starting with S</t>
  </si>
  <si>
    <t>Regular Exp</t>
  </si>
  <si>
    <t>Wild Char</t>
  </si>
  <si>
    <t>San Francisco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</si>
</sst>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8"/>
      <color theme="1"/>
      <name val="Aptos Narrow (Body)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20"/>
      <color theme="1"/>
      <name val="Aptos Narrow (Body)"/>
    </font>
    <font>
      <sz val="16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2" fillId="0" borderId="1" xfId="0" applyFont="1" applyBorder="1"/>
    <xf numFmtId="0" fontId="0" fillId="2" borderId="0" xfId="0" applyFill="1"/>
    <xf numFmtId="0" fontId="2" fillId="0" borderId="2" xfId="0" applyFont="1" applyBorder="1"/>
    <xf numFmtId="0" fontId="2" fillId="0" borderId="3" xfId="0" applyFont="1" applyBorder="1"/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ustomXml" Target="../ink/ink6.xml"/><Relationship Id="rId18" Type="http://schemas.openxmlformats.org/officeDocument/2006/relationships/customXml" Target="../ink/ink8.xml"/><Relationship Id="rId3" Type="http://schemas.openxmlformats.org/officeDocument/2006/relationships/image" Target="../media/image2.png"/><Relationship Id="rId21" Type="http://schemas.openxmlformats.org/officeDocument/2006/relationships/image" Target="../media/image12.png"/><Relationship Id="rId7" Type="http://schemas.openxmlformats.org/officeDocument/2006/relationships/customXml" Target="../ink/ink3.xml"/><Relationship Id="rId12" Type="http://schemas.openxmlformats.org/officeDocument/2006/relationships/image" Target="../media/image7.png"/><Relationship Id="rId17" Type="http://schemas.openxmlformats.org/officeDocument/2006/relationships/image" Target="../media/image10.png"/><Relationship Id="rId2" Type="http://schemas.openxmlformats.org/officeDocument/2006/relationships/customXml" Target="../ink/ink1.xml"/><Relationship Id="rId16" Type="http://schemas.openxmlformats.org/officeDocument/2006/relationships/image" Target="../media/image9.png"/><Relationship Id="rId20" Type="http://schemas.openxmlformats.org/officeDocument/2006/relationships/customXml" Target="../ink/ink9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5" Type="http://schemas.openxmlformats.org/officeDocument/2006/relationships/customXml" Target="../ink/ink7.xml"/><Relationship Id="rId10" Type="http://schemas.openxmlformats.org/officeDocument/2006/relationships/image" Target="../media/image6.png"/><Relationship Id="rId19" Type="http://schemas.openxmlformats.org/officeDocument/2006/relationships/image" Target="../media/image11.png"/><Relationship Id="rId4" Type="http://schemas.openxmlformats.org/officeDocument/2006/relationships/image" Target="../media/image3.png"/><Relationship Id="rId9" Type="http://schemas.openxmlformats.org/officeDocument/2006/relationships/customXml" Target="../ink/ink4.xml"/><Relationship Id="rId1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610000</xdr:colOff>
      <xdr:row>61</xdr:row>
      <xdr:rowOff>36360</xdr:rowOff>
    </xdr:from>
    <xdr:to>
      <xdr:col>3</xdr:col>
      <xdr:colOff>104000</xdr:colOff>
      <xdr:row>65</xdr:row>
      <xdr:rowOff>193399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E485B-1C84-C02E-47A9-31B26A0EB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000" y="11721360"/>
          <a:ext cx="2477000" cy="977039"/>
        </a:xfrm>
        <a:prstGeom prst="rect">
          <a:avLst/>
        </a:prstGeom>
      </xdr:spPr>
    </xdr:pic>
    <xdr:clientData/>
  </xdr:twoCellAnchor>
  <xdr:twoCellAnchor editAs="oneCell">
    <xdr:from>
      <xdr:col>3</xdr:col>
      <xdr:colOff>141840</xdr:colOff>
      <xdr:row>64</xdr:row>
      <xdr:rowOff>30720</xdr:rowOff>
    </xdr:from>
    <xdr:to>
      <xdr:col>3</xdr:col>
      <xdr:colOff>625320</xdr:colOff>
      <xdr:row>64</xdr:row>
      <xdr:rowOff>33960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B2E7004-390F-8A9A-FE15-C84008CA13E9}"/>
                </a:ext>
              </a:extLst>
            </xdr14:cNvPr>
            <xdr14:cNvContentPartPr/>
          </xdr14:nvContentPartPr>
          <xdr14:nvPr macro=""/>
          <xdr14:xfrm>
            <a:off x="2616840" y="12330720"/>
            <a:ext cx="483480" cy="324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B2E7004-390F-8A9A-FE15-C84008CA13E9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10720" y="12324600"/>
              <a:ext cx="495720" cy="1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263470</xdr:colOff>
      <xdr:row>96</xdr:row>
      <xdr:rowOff>9203</xdr:rowOff>
    </xdr:from>
    <xdr:to>
      <xdr:col>4</xdr:col>
      <xdr:colOff>54665</xdr:colOff>
      <xdr:row>103</xdr:row>
      <xdr:rowOff>82825</xdr:rowOff>
    </xdr:to>
    <xdr:pic>
      <xdr:nvPicPr>
        <xdr:cNvPr id="4" name="Picture 3" descr="Average Tips and Tricks - GeeksforGeeks">
          <a:extLst>
            <a:ext uri="{FF2B5EF4-FFF2-40B4-BE49-F238E27FC236}">
              <a16:creationId xmlns:a16="http://schemas.microsoft.com/office/drawing/2014/main" id="{624A0DDC-A642-B419-73EF-20C216DCE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0789" y="19445725"/>
          <a:ext cx="2986073" cy="14908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623720</xdr:colOff>
      <xdr:row>126</xdr:row>
      <xdr:rowOff>1800</xdr:rowOff>
    </xdr:from>
    <xdr:to>
      <xdr:col>9</xdr:col>
      <xdr:colOff>689580</xdr:colOff>
      <xdr:row>127</xdr:row>
      <xdr:rowOff>47720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43501701-D3E9-1860-1253-D900D8AF4EF7}"/>
                </a:ext>
              </a:extLst>
            </xdr14:cNvPr>
            <xdr14:cNvContentPartPr/>
          </xdr14:nvContentPartPr>
          <xdr14:nvPr macro=""/>
          <xdr14:xfrm>
            <a:off x="7227720" y="25605000"/>
            <a:ext cx="891360" cy="24912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43501701-D3E9-1860-1253-D900D8AF4EF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221600" y="25598880"/>
              <a:ext cx="903600" cy="26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720180</xdr:colOff>
      <xdr:row>125</xdr:row>
      <xdr:rowOff>195640</xdr:rowOff>
    </xdr:from>
    <xdr:to>
      <xdr:col>11</xdr:col>
      <xdr:colOff>24980</xdr:colOff>
      <xdr:row>126</xdr:row>
      <xdr:rowOff>193680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2E891DEC-BF39-8FDD-A175-80E528335601}"/>
                </a:ext>
              </a:extLst>
            </xdr14:cNvPr>
            <xdr14:cNvContentPartPr/>
          </xdr14:nvContentPartPr>
          <xdr14:nvPr macro=""/>
          <xdr14:xfrm>
            <a:off x="8149680" y="25595640"/>
            <a:ext cx="955800" cy="20124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2E891DEC-BF39-8FDD-A175-80E528335601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8143560" y="25589520"/>
              <a:ext cx="968040" cy="21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249320</xdr:colOff>
      <xdr:row>127</xdr:row>
      <xdr:rowOff>92360</xdr:rowOff>
    </xdr:from>
    <xdr:to>
      <xdr:col>8</xdr:col>
      <xdr:colOff>421040</xdr:colOff>
      <xdr:row>128</xdr:row>
      <xdr:rowOff>101560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1D21A91-364F-57C0-6FF0-40FEE4C6EE2E}"/>
                </a:ext>
              </a:extLst>
            </xdr14:cNvPr>
            <xdr14:cNvContentPartPr/>
          </xdr14:nvContentPartPr>
          <xdr14:nvPr macro=""/>
          <xdr14:xfrm>
            <a:off x="6853320" y="25898760"/>
            <a:ext cx="171720" cy="2124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E1D21A91-364F-57C0-6FF0-40FEE4C6EE2E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847200" y="25892640"/>
              <a:ext cx="183960" cy="22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157160</xdr:colOff>
      <xdr:row>131</xdr:row>
      <xdr:rowOff>2080</xdr:rowOff>
    </xdr:from>
    <xdr:to>
      <xdr:col>8</xdr:col>
      <xdr:colOff>718760</xdr:colOff>
      <xdr:row>131</xdr:row>
      <xdr:rowOff>36640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EDD53411-490A-5CAE-334C-2050F49AF48E}"/>
                </a:ext>
              </a:extLst>
            </xdr14:cNvPr>
            <xdr14:cNvContentPartPr/>
          </xdr14:nvContentPartPr>
          <xdr14:nvPr macro=""/>
          <xdr14:xfrm>
            <a:off x="6761160" y="26621280"/>
            <a:ext cx="561600" cy="345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EDD53411-490A-5CAE-334C-2050F49AF48E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6755040" y="26615160"/>
              <a:ext cx="573840" cy="46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790760</xdr:colOff>
      <xdr:row>130</xdr:row>
      <xdr:rowOff>113120</xdr:rowOff>
    </xdr:from>
    <xdr:to>
      <xdr:col>10</xdr:col>
      <xdr:colOff>256480</xdr:colOff>
      <xdr:row>132</xdr:row>
      <xdr:rowOff>60240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BC66EC0-A670-923A-3E5B-49BBEF9AB025}"/>
                </a:ext>
              </a:extLst>
            </xdr14:cNvPr>
            <xdr14:cNvContentPartPr/>
          </xdr14:nvContentPartPr>
          <xdr14:nvPr macro=""/>
          <xdr14:xfrm>
            <a:off x="7394760" y="26529120"/>
            <a:ext cx="1116720" cy="35352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BC66EC0-A670-923A-3E5B-49BBEF9AB025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388640" y="26523000"/>
              <a:ext cx="1128960" cy="36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14960</xdr:colOff>
      <xdr:row>132</xdr:row>
      <xdr:rowOff>5160</xdr:rowOff>
    </xdr:from>
    <xdr:to>
      <xdr:col>9</xdr:col>
      <xdr:colOff>782460</xdr:colOff>
      <xdr:row>134</xdr:row>
      <xdr:rowOff>134800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4DD656CF-6B21-2C92-333C-F790D8B8AB07}"/>
                </a:ext>
              </a:extLst>
            </xdr14:cNvPr>
            <xdr14:cNvContentPartPr/>
          </xdr14:nvContentPartPr>
          <xdr14:nvPr macro=""/>
          <xdr14:xfrm>
            <a:off x="6618960" y="26827560"/>
            <a:ext cx="1593000" cy="5360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4DD656CF-6B21-2C92-333C-F790D8B8AB0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612840" y="26821440"/>
              <a:ext cx="1605240" cy="54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330200</xdr:colOff>
      <xdr:row>151</xdr:row>
      <xdr:rowOff>137660</xdr:rowOff>
    </xdr:from>
    <xdr:to>
      <xdr:col>4</xdr:col>
      <xdr:colOff>209550</xdr:colOff>
      <xdr:row>155</xdr:row>
      <xdr:rowOff>50799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33BC942-1157-6055-FDDC-DC53FA93E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55700" y="31227260"/>
          <a:ext cx="4654550" cy="725939"/>
        </a:xfrm>
        <a:prstGeom prst="rect">
          <a:avLst/>
        </a:prstGeom>
      </xdr:spPr>
    </xdr:pic>
    <xdr:clientData/>
  </xdr:twoCellAnchor>
  <xdr:twoCellAnchor editAs="oneCell">
    <xdr:from>
      <xdr:col>2</xdr:col>
      <xdr:colOff>1117260</xdr:colOff>
      <xdr:row>154</xdr:row>
      <xdr:rowOff>60000</xdr:rowOff>
    </xdr:from>
    <xdr:to>
      <xdr:col>3</xdr:col>
      <xdr:colOff>51360</xdr:colOff>
      <xdr:row>156</xdr:row>
      <xdr:rowOff>57520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EAFE33F-8CF5-1EDB-DDD6-AF32CD44B70D}"/>
                </a:ext>
              </a:extLst>
            </xdr14:cNvPr>
            <xdr14:cNvContentPartPr/>
          </xdr14:nvContentPartPr>
          <xdr14:nvPr macro=""/>
          <xdr14:xfrm>
            <a:off x="3517560" y="31759200"/>
            <a:ext cx="343800" cy="40392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EEAFE33F-8CF5-1EDB-DDD6-AF32CD44B70D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3511440" y="31753075"/>
              <a:ext cx="356040" cy="4161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1073340</xdr:colOff>
      <xdr:row>157</xdr:row>
      <xdr:rowOff>65640</xdr:rowOff>
    </xdr:from>
    <xdr:to>
      <xdr:col>2</xdr:col>
      <xdr:colOff>1073700</xdr:colOff>
      <xdr:row>157</xdr:row>
      <xdr:rowOff>66000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682A082-3BCA-81BA-67F4-68A9F49AC457}"/>
                </a:ext>
              </a:extLst>
            </xdr14:cNvPr>
            <xdr14:cNvContentPartPr/>
          </xdr14:nvContentPartPr>
          <xdr14:nvPr macro=""/>
          <xdr14:xfrm>
            <a:off x="3473640" y="32374440"/>
            <a:ext cx="360" cy="36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4682A082-3BCA-81BA-67F4-68A9F49AC457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3467520" y="32368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2T16:03:15.14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0 24575,'20'0'0,"6"0"0,10 0 0,12 0 0,13 0 0,10 0 0,7 0 0,6 0 0,1 0 0,3 0 0,6 0 0,-7 0 0,5 0 0,-7 0 0,-11 0 0,-13 0 0,-16 0 0,-9 0 0,-5 1 0,-1 0 0,-3 0 0,-2 1 0,-6-1 0,-5 0 0,-4 0 0,-2-1 0,-4 0 0,-1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02:51.45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132 628 24575,'10'0'0,"12"0"0,15 0 0,17 0 0,17 0 0,7 0 0,8 0 0,0 0 0,-4-2 0,-1 0 0,-5 0 0,-8 1 0,-9 1 0,-13 0 0,-10 0 0,-10-1 0,-5 0 0,-4-2 0,-1 1 0,-1 0 0,1 0 0,2 1 0,2-2 0,0 0 0,-3 2 0,-4 0 0,-3 1 0,-3 0 0,-1 0 0,2 0 0,9-1 0,14-2 0,11-2 0,8-1 0,-1 0 0,-7 0 0,-7 1 0,-9-1 0,-4 3 0,-1-1 0,1 1 0,1 0 0,5-1 0,4 0 0,3-2 0,0 2 0,-3 1 0,-1 2 0,-3 1 0,0 0 0,-1 0 0,-4 0 0,-3 0 0,-4 0 0,-3 0 0,-1 0 0,1 0 0,0 0 0,1 0 0,-1 0 0,-2 0 0,1 0 0,-1 0 0,1 0 0,0 0 0,0 0 0,-3 0 0,2 0 0,3 0 0,5 0 0,4 0 0,3 0 0,-1 0 0,-4 0 0,-6 0 0,-4 0 0,-4 0 0,-1 0 0,-2 0 0,3-1 0,4-2 0,7-2 0,6-2 0,4-3 0,-3 1 0,-4 1 0,-7 0 0,-7 3 0,-3 0 0,-2 0 0,-2-2 0,0-1 0,0-2 0,0 0 0,0-6 0,1-6 0,1-7 0,-1-5 0,1-1 0,-2 4 0,0 8 0,0 9 0,0 3 0,0-1 0,0-5 0,0-7 0,0-2 0,0-1 0,0 4 0,0 4 0,0 5 0,0 2 0,0 2 0,-1 2 0,0 2 0,-1 1 0,0 2 0,0 1 0,0 1 0,-2 0 0,0 0 0,-1 1 0,-1 0 0,-2 0 0,-1 0 0,-4 0 0,-4 0 0,-11 0 0,-13 0 0,-17 0 0,-14 0 0,-6 0 0,-1 0 0,6 0 0,2 0 0,0 0 0,-4 0 0,-4 1 0,1 1 0,3-1 0,6 2 0,2 0 0,0-2 0,-2 1 0,-2-2 0,3 0 0,4 0 0,4 0 0,2 0 0,-1 0 0,-3 0 0,-3 0 0,2 0 0,2 0 0,6 0 0,9 0 0,4 0 0,1 0 0,0 0 0,-2 0 0,4 0 0,5 0 0,6 0 0,4 0 0,2 0 0,1 0 0,0 0 0,-4 0 0,-4 0 0,0 0 0,3 0 0,8 0 0,8 1 0,5 0 0,3 2 0,1 0 0,0 2 0,0 2 0,1 1 0,0 4 0,0 7 0,0 13 0,-1 15 0,-1 15 0,-1 8 0,-1 1 0,2-7 0,0-11 0,2-15 0,0-9 0,0-8 0,0-2 0,0 1 0,0 2 0,0-2 0,0-2 0,0-4 0,1-4 0,-1-4 0,1-3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02:55.6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 0 24575,'-2'5'0,"0"8"0,2 12 0,0 11 0,0 7 0,0-1 0,0-2 0,0 0 0,0 2 0,0 2 0,0-1 0,1 1 0,0-6 0,1-6 0,0-9 0,-1-7 0,1-6 0,1-5 0,1-2 0,1-3 0,0 0 0,2 1 0,1-1 0,3 0 0,8 0 0,11 0 0,18 0 0,17 2 0,12 2 0,4-1 0,-7 0 0,-9-2 0,-10-1 0,-4 0 0,-2 0 0,1 0 0,3 0 0,3 0 0,5 0 0,4 0 0,2 0 0,-2 0 0,-3 0 0,-1 0 0,2 0 0,9 0 0,8 0 0,8 0 0,10 0 0,0 0 0,-47 0 0,-1 0 0,45 0 0,-15 0 0,-12 0 0,-17 0 0,-11 0 0,-6 0 0,0 0 0,4 0 0,2 0 0,0 0 0,-2 0 0,-2 0 0,-1 0 0,1 0 0,-3-1 0,-4-2 0,-6 0 0,-2 0 0,-3 0 0,-1 1 0,-2-1 0,-3 0 0,-5 0 0,-3 0 0,-2-1 0,-1-1 0,-1-4 0,1-2 0,-1-6 0,0-7 0,-3-13 0,-3-16 0,-3-11 0,-2-4 0,0 5 0,2 15 0,2 14 0,4 13 0,-1 13 0,0 5 0,-5 5 0,-14 4 0,-24 0 0,-35-1 0,24-4 0,-6 0 0,-12 0 0,-5-2 0,-10 1 0,-2-1 0,-4-2 0,1-1 0,3-2 0,3 0 0,10 0 0,2-1 0,11 1 0,2 0 0,9 3 0,3 0 0,-39-1 0,13 0 0,15 2 0,12 0 0,5-1 0,6 1 0,2 1 0,-2-1 0,1 1 0,0-1 0,0-1 0,5 0 0,4 2 0,5-1 0,3 2 0,-3 0 0,-7 0 0,-14 0 0,-9 0 0,-7 0 0,2 0 0,11 0 0,12 0 0,13 0 0,8 0 0,5 0 0,3 0 0,2 0 0,2 1 0,2 4 0,1-3 0,1 3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02:56.79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110 1 24575,'0'22'0,"0"15"0,0 21 0,1 15 0,4 7 0,5-3 0,6-12 0,2-18 0,1-16 0,3-11 0,2-6 0,6-2 0,4 0 0,2-1 0,-2-2 0,-5-2 0,-6-1 0,-6-3 0,-1 0 0,-4-2 0,-2-1 0,-4 0 0,-2 0 0</inkml:trace>
  <inkml:trace contextRef="#ctx0" brushRef="#br0" timeOffset="2067">145 53 24575,'-7'-1'0,"-2"5"0,-6 7 0,-1 7 0,-1 4 0,2-1 0,2 0 0,2-3 0,0-3 0,2-2 0,2-3 0,1-2 0,2-5 0,1-5 0,1-5 0,2-5 0,2-2 0,4-2 0,2-1 0,2 0 0,0 1 0,-2 2 0,0 2 0,-2 0 0,0 1 0,0 1 0,-1 1 0,-1 3 0,0 2 0,-1 3 0,2 1 0,-1 1 0,1 3 0,1 3 0,2 4 0,1 2 0,0 0 0,1-1 0,-1-1 0,1-1 0,-1-3 0,1 0 0,3 0 0,3 1 0,2-1 0,1-1 0,-4-2 0,-4-2 0,-2-1 0,-5 0 0,-2-1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11:10.14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91 24575,'9'0'0,"9"0"0,12 0 0,15 0 0,13 0 0,6 0 0,5-3 0,-2 0 0,-6-2 0,-7-1 0,-10 1 0,-8-1 0,-6 1 0,-3 2 0,0-1 0,4 1 0,3 0 0,1-1 0,3-1 0,-2 0 0,0-1 0,0 2 0,-3 0 0,-4 1 0,-5 2 0,-4-2 0,-4 2 0,-1 0 0,0 0 0,1 1 0,2 0 0,2 0 0,3 0 0,0 0 0,0-1 0,-2-1 0,-2 1 0,1 0 0,1 1 0,3 0 0,4 0 0,1 0 0,2 0 0,2 0 0,-1 0 0,2 0 0,-3 0 0,-4 0 0,-5 0 0,-8 0 0,-5 0 0,-5 0 0,-18 0 0,-10 0 0,-21 0 0,-9 0 0,-8 0 0,-4 0 0,1 0 0,0 0 0,-5 0 0,-2 0 0,0 0 0,-1 0 0,12 0 0,8 0 0,9 0 0,9 0 0,3 0 0,-2 0 0,-4 0 0,-3 0 0,-1 0 0,0 0 0,4 1 0,3 0 0,6 2 0,6 1 0,4-2 0,5 1 0,2-1 0,-2 1 0,-4 0 0,-6 1 0,-4 0 0,0 0 0,2 1 0,2 0 0,4-1 0,3 0 0,4-1 0,3-1 0,3 0 0,4 1 0,1 1 0,1 1 0,1-2 0,4-1 0,7-1 0,7-1 0,7 0 0,4 0 0,2 0 0,1 0 0,4 0 0,8 0 0,12 0 0,9 0 0,4 0 0,3 0 0,0-2 0,0-3 0,0-2 0,-8-1 0,-10 2 0,-9 3 0,-8 2 0,-3 1 0,0-1 0,2-1 0,-1 0 0,-2-1 0,-5 1 0,-6 0 0,-5 2 0,-3 0 0,-1 0 0,0 0 0,3 0 0,3 0 0,4 0 0,1 0 0,1 0 0,1 0 0,3 0 0,1 0 0,-2 0 0,-5 0 0,-5 0 0,-4 0 0,-6 0 0,-5 0 0,-9 0 0,-10 0 0,-12 0 0,-13 0 0,-15-3 0,-20-2 0,-18-3 0,38 4 0,-2 0 0,0 2 0,0 1 0,0-1 0,1 2 0,4 0 0,2 0 0,-38 0 0,10 0 0,17 0 0,12 0 0,12 0 0,9 0 0,4 0 0,0 0 0,-1 0 0,0 0 0,3 0 0,4 0 0,3 0 0,4 1 0,3 0 0,1 1 0,1 0 0,1-1 0,2 1 0,4 0 0,2 2 0,3 1 0,0 1 0,1 0 0,0 0 0,0-1 0,3 0 0,5-2 0,5-2 0,4 0 0,3-1 0,3 0 0,0-1 0,-3-1 0,-5-1 0,-6 0 0,-12 3 0,-14 3 0,-17 5 0,-12 4 0,-1-1 0,8-3 0,11-5 0,12-3 0,14-1 0,13-3 0,10-2 0,4-1 0,3 1 0,4 2 0,12 1 0,21 1 0,22-1 0,-42 2 0,1 0 0,0 0 0,0 0 0,40-1 0,-16 0 0,-16 1 0,-15-1 0,-12 2 0,-8 0 0,-2 0 0,-3 0 0,-1 0 0,1 0 0,-1 0 0,2 0 0,2 0 0,-1 0 0,-2 0 0,-4 0 0,-4 0 0,-4 0 0,-1 0 0,-2 0 0,-1 0 0,0 0 0,0 0 0,1 0 0,1 0 0,5 0 0,2-1 0,1 0 0,-5-2 0,-9 1 0,-11 1 0,-9 0 0,-8 1 0,-2-1 0,0-1 0,1 0 0,-7-4 0,-11-1 0,-19-1 0,-16 1 0,-8 3 0,-6 3 0,3 1 0,5 0 0,10 3 0,15 0 0,15 0 0,12 0 0,8-1 0,0-1 0,1 1 0,2-1 0,2 0 0,6 0 0,6 1 0,3-1 0,5-1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11:37.55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249 981 24575,'14'0'0,"16"0"0,23 0 0,25 0 0,21 0 0,-43 0 0,2 0 0,7 0 0,1 0 0,-1 0 0,0 0 0,0 0 0,-3 0 0,-3 0 0,-3 0 0,41 0 0,-6-2 0,-8-1 0,-3-2 0,-3-2 0,-6 1 0,-10 0 0,-9-1 0,-8 1 0,-8 1 0,-7 1 0,-8 2 0,-6 1 0,-6 0 0,0 1 0,12 0 0,19 0 0,24 0 0,20-2 0,4-1 0,-7-3 0,-13 0 0,-15 1 0,-12 2 0,-6 2 0,-2-1 0,-1 1 0,1-1 0,1 1 0,2 1 0,0 0 0,-3 0 0,-8 0 0,-7-1 0,-6-1 0,-5-2 0,-3 1 0,-1 0 0,-1 0 0,-1 0 0,0-1 0,1 1 0,2 0 0,8-3 0,11-3 0,18-3 0,11-5 0,3-1 0,-8 1 0,-14 4 0,-14 5 0,-10 2 0,-5 1 0,-4 0 0,1-3 0,-2-1 0,-2-3 0,-2-1 0,-3 0 0,1-2 0,-1-4 0,-4-8 0,-1-9 0,-6-12 0,-3-10 0,-1-3 0,2 5 0,4 14 0,4 13 0,6 13 0,3 7 0,1 4 0,0-2 0,-5-7 0,-6-11 0,-7-14 0,-7-10 0,2-2 0,5 10 0,6 13 0,6 15 0,2 8 0,0 4 0,-3 4 0,-6 3 0,-17 4 0,-25 4 0,-30 4 0,30-7 0,-2 1 0,-7 1 0,-3 0 0,-5 2 0,-2-1 0,-3 0 0,-1 1 0,0-1 0,0 1 0,3 0 0,0-1 0,4 0 0,2-1 0,5 0 0,1 0 0,5-2 0,1 0 0,5-2 0,2 0 0,-42 8 0,11-4 0,11-4 0,9-3 0,8-4 0,2-2 0,-2 0 0,0 0 0,-1 0 0,4 0 0,3 0 0,4 0 0,2-2 0,0-4 0,-1-2 0,0-2 0,2 1 0,4 1 0,4 3 0,4 0 0,2 2 0,6 2 0,5-1 0,6 2 0,7 6 0,5 12 0,5 18 0,2 18 0,3 10 0,1 3 0,1-1 0,1-9 0,0-5 0,-1-9 0,-1-9 0,-1-10 0,0-7 0,0-5 0,-1-3 0,1-1 0,-1-2 0,1-4 0,-2 0 0,-2-1 0,-1 0 0,-3 0 0,-2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11:41.92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178 1257 24575,'16'0'0,"22"0"0,33 0 0,24 0 0,-43 0 0,1 0 0,0 0 0,1 0 0,0 0 0,1 0 0,-1 0 0,1 0 0,1 0 0,0 0 0,-4 0 0,-1 0 0,43-1 0,-8-1 0,-7-3 0,-3-3 0,0-1 0,-4-1 0,-3 2 0,-2 1 0,-2-1 0,4 0 0,3 0 0,0 0 0,-2 3 0,-7 1 0,-9 1 0,-9 1 0,-9-1 0,-7 1 0,-3 0 0,-1 0 0,1 0 0,4-1 0,5 1 0,3-1 0,2 0 0,-2 1 0,-6 1 0,-7 1 0,-4 0 0,0 0 0,2 0 0,2 0 0,-1 0 0,-4 0 0,-2 0 0,0 0 0,2 0 0,2-1 0,1-1 0,-3-1 0,-4-2 0,-6-1 0,-4-2 0,-4-2 0,-2-3 0,0-4 0,0-2 0,0 0 0,0 2 0,0 1 0,0 3 0,0 2 0,0 2 0,0 1 0,0 0 0,0-2 0,0-4 0,0-2 0,0-2 0,-1-3 0,-1 0 0,-2-3 0,-2 0 0,1 1 0,-1 2 0,-1 3 0,0 0 0,-2 0 0,-2-2 0,-1-2 0,-1-1 0,-1 2 0,0 0 0,0 4 0,0 4 0,1 2 0,2 5 0,0 4 0,2 1 0,-4 1 0,-2 0 0,-5 0 0,-5 1 0,-8 1 0,-15 1 0,-14 0 0,-15-1 0,-9-1 0,-1 0 0,-2 0 0,1 3 0,3 0 0,2 2 0,3 1 0,3 0 0,2 1 0,3 0 0,-3 1 0,0 0 0,-4-3 0,3 1 0,2-2 0,5-2 0,4 1 0,2-1 0,1 2 0,1 0 0,6 0 0,5-1 0,7 0 0,5 0 0,2 0 0,3-1 0,2-2 0,2 2 0,0 0 0,-3 1 0,-3 1 0,-3-1 0,-1 0 0,-3-1 0,1-1 0,0-1 0,3-1 0,4 0 0,7 0 0,3 0 0,4 0 0,1 0 0,2-1 0,2-1 0,3 1 0,3 0 0,2 0 0,3 1 0,1 1 0,1 5 0,2 14 0,0 15 0,0 20 0,0 17 0,0 6 0,0-3 0,0-12 0,0-16 0,0-14 0,0-11 0,0-7 0,0-5 0,0-1 0,1 0 0,2 1 0,2 2 0,1 1 0,0-3 0,0-1 0,0-3 0,1-1 0,5-1 0,5 0 0,9 1 0,9-1 0,10 0 0,5 0 0,2-1 0,-1 0 0,-7 3 0,-9 0 0,-4 0 0,-5-1 0,-5-2 0,-4-1 0,-5 2 0,-5 0 0,-4-1 0,-3 0 0</inkml:trace>
  <inkml:trace contextRef="#ctx0" brushRef="#br0" timeOffset="1517">3281 1300 24575,'85'0'0,"-18"0"0,7 0 0,-9 0 0,3 0 0,2 0 0,4 0 0,1 0 0,-1 0 0,28 0 0,-5 0 0,-22 0 0,-7 0 0,18 0 0,-55 0 0,-59 1 0,-56 3 0,11 1 0,-9 1 0,16 0 0,-5 0 0,0 1-182,-7 1 1,-2 1-1,1 0 182,2 0 0,0 1 0,3 0 0,-21 4 0,5 1 0,16-2 0,6 0 0,-26 8 0,41-6 0,34-7 0,34-10 0,31-11 545,38-12-545,-22 7 0,7-2 0,15-3 0,4 0 0,-23 6 0,1 1 0,1 0 0,1 0 0,0 1 0,-1 0 0,24-3 0,-3 2 0,-11 4 0,-4 2 0,-14 4 0,-3 0 0,22 2 0,-25 1 0,-26 2 0,-16 1 0,-8 0 0</inkml:trace>
  <inkml:trace contextRef="#ctx0" brushRef="#br0" timeOffset="3434">3521 450 24575,'-8'0'0,"-17"0"0,-33 0 0,-41 0 0,33 0 0,-5 0 0,-8 0 0,-1 0 0,-6 0 0,-1 0 0,1-2 0,0-1 0,0-2 0,0-3 0,1-2 0,2-3 0,6-1 0,2-3 0,5 0 0,1-1 0,7 1 0,3-1 0,6 1 0,3 0 0,-43-18 0,15 4 0,15 5 0,13 7 0,16 7 0,11 4 0,8 1 0,2 0 0,2-2 0,2-1 0,1 1 0,2 2 0,1 3 0,2 5 0,2 5 0,1 5 0,0 4 0,0 3 0,0 0 0,0-2 0,-1-1 0,-2-1 0,0-2 0,-2-2 0,0-3 0,1-3 0,1-3 0,1-3 0,1-8 0,0-9 0,2-11 0,4-7 0,1-1 0,2 4 0,0 6 0,0 9 0,1 6 0,-2 8 0,1 3 0,0 1 0,1 1 0,0 0 0,0 0 0,2 1 0,1 2 0,3 3 0,1 3 0,-1 1 0,-1 0 0,-6-1 0,-4 2 0,-2-6 0,-2 1 0</inkml:trace>
  <inkml:trace contextRef="#ctx0" brushRef="#br0" timeOffset="5434">1582 488 24575,'7'0'0,"13"0"0,24 0 0,27 0 0,23 0 0,-40 0 0,0-1 0,2-1 0,-1-1 0,-1-3 0,-1-1 0,43-12 0,-13-7 0,-13-2 0,-9-2 0,-4-3 0,-8 0 0,-6 2 0,-9 6 0,-11 6 0,-9 5 0,-6 4 0,-5 2 0,-2 2 0,0 0 0,-3 2 0,-1 1 0,-4 1 0,-7 1 0,-7 1 0,-8 1 0,-5 2 0,-1 0 0,2 0 0,4-1 0,7-2 0,4 0 0,6-1 0,7-3 0,9-5 0,11-3 0,10-4 0,9 0 0,3 1 0,1 5 0,-4 3 0,-4 2 0,-6 4 0,-6 0 0,-5 1 0,-5 0 0,-4 2 0,-2 2 0,-2 2 0,-1 2 0,-2 3 0,-4 5 0,-3 5 0,-4 4 0,0 3 0,2 2 0,1-2 0,2-3 0,3-5 0,2-6 0,2-2 0,1-7 0,1-2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23:25.83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150 49 24575,'42'0'0,"19"0"0,36 0 0,-35 0 0,2 0 0,2 0 0,0-2 0,-1 1 0,-3-1 0,37-5 0,-35 0 0,-26 3 0,-24 5 0,-18 7 0,-16 6 0,-14 3 0,-16-2 0,-18-6 0,-18-5 0,32-4 0,-3 0 0,-5 0 0,-2-1 0,-2 0 0,0 0 0,3 0 0,2 0 0,-35-1 0,29 2 0,37-1 0,28-4 0,20-4 0,16-4 0,18-3 0,17 1 0,20 3 0,-38 7 0,1 2 0,3 0 0,1 1 0,-1 1 0,1 0 0,-2 1 0,-1 0 0,43 0 0,-21 0 0,-20 0 0,-31 0 0,-14 0 0,-10 0 0</inkml:trace>
  <inkml:trace contextRef="#ctx0" brushRef="#br0" timeOffset="2017">669 72 24575,'0'12'0,"0"18"0,0 24 0,0 20 0,0 13 0,0 3 0,0-2 0,0-3 0,0-6 0,1-9 0,2-8 0,1-11 0,1-9 0,-1-8 0,-1-3 0,-1-4 0,0-4 0,-1-5 0,1-3 0,0-4 0,-1-4 0,-1-2 0,-1-3 0,-4-2 0,-3-2 0,-4-4 0,-3-3 0,0-3 0,-2-2 0,0-2 0,1-1 0,-1-1 0,4 1 0,3 4 0,5 5 0,4 7 0,10 9 0,0 1 0,4 6 0,0-2 0,-2 1 0,2 1 0,-1 1 0,0-2 0,-2-2 0,0-1 0,-1-2 0,2 0 0,0 1 0,1-1 0,0 0 0,-2-2 0,-1-3 0,-4-3 0,-1-1 0,0 0 0,0-1 0,3-4 0,1-8 0,1-8 0,2-7 0,1-3 0,-1-1 0,0 2 0,-1 4 0,-1 5 0,-4 6 0,-1 7 0,-4 5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17:23:29.62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5A4D96-2C86-FB4D-AFB6-2E8FE7D3439F}" name="Table1" displayName="Table1" ref="C74:E84" headerRowDxfId="9" headerRowBorderDxfId="8" tableBorderDxfId="7" totalsRowBorderDxfId="6">
  <autoFilter ref="C74:E84" xr:uid="{C25A4D96-2C86-FB4D-AFB6-2E8FE7D3439F}"/>
  <tableColumns count="3">
    <tableColumn id="1" xr3:uid="{32851D82-3A5F-A24B-86DF-AC64E76C60A9}" name="STATE" totalsRowLabel="Total" dataDxfId="5" totalsRowDxfId="4"/>
    <tableColumn id="2" xr3:uid="{B4D66E0E-50D0-4D41-A508-3B48F8AC52B3}" name="Salary" dataDxfId="3" totalsRowDxfId="2"/>
    <tableColumn id="3" xr3:uid="{3B154E6C-1DF2-574C-9D40-CDE54FCCA60F}" name="AGE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CF16-A0DB-D34E-A0CB-3B7CCD6D59C1}">
  <dimension ref="B3:E28"/>
  <sheetViews>
    <sheetView topLeftCell="A18" zoomScale="249" workbookViewId="0">
      <selection activeCell="D28" sqref="D28"/>
    </sheetView>
  </sheetViews>
  <sheetFormatPr baseColWidth="10" defaultRowHeight="16" x14ac:dyDescent="0.2"/>
  <sheetData>
    <row r="3" spans="2:5" x14ac:dyDescent="0.2">
      <c r="B3" s="12" t="s">
        <v>0</v>
      </c>
      <c r="C3" s="13"/>
      <c r="D3" s="13"/>
      <c r="E3" s="13"/>
    </row>
    <row r="4" spans="2:5" x14ac:dyDescent="0.2">
      <c r="B4" s="13"/>
      <c r="C4" s="13"/>
      <c r="D4" s="13"/>
      <c r="E4" s="13"/>
    </row>
    <row r="5" spans="2:5" x14ac:dyDescent="0.2">
      <c r="B5" s="13"/>
      <c r="C5" s="13"/>
      <c r="D5" s="13"/>
      <c r="E5" s="13"/>
    </row>
    <row r="8" spans="2:5" x14ac:dyDescent="0.2">
      <c r="B8" t="s">
        <v>1</v>
      </c>
    </row>
    <row r="10" spans="2:5" x14ac:dyDescent="0.2">
      <c r="B10" t="s">
        <v>2</v>
      </c>
    </row>
    <row r="12" spans="2:5" x14ac:dyDescent="0.2">
      <c r="B12" t="s">
        <v>3</v>
      </c>
    </row>
    <row r="14" spans="2:5" x14ac:dyDescent="0.2">
      <c r="B14" t="s">
        <v>4</v>
      </c>
    </row>
    <row r="16" spans="2:5" x14ac:dyDescent="0.2">
      <c r="B16" t="s">
        <v>5</v>
      </c>
      <c r="D16" t="s">
        <v>19</v>
      </c>
    </row>
    <row r="18" spans="2:4" x14ac:dyDescent="0.2">
      <c r="B18" t="s">
        <v>17</v>
      </c>
      <c r="D18" t="s">
        <v>18</v>
      </c>
    </row>
    <row r="20" spans="2:4" x14ac:dyDescent="0.2">
      <c r="B20" t="s">
        <v>24</v>
      </c>
      <c r="D20" t="s">
        <v>26</v>
      </c>
    </row>
    <row r="22" spans="2:4" x14ac:dyDescent="0.2">
      <c r="B22" t="s">
        <v>25</v>
      </c>
      <c r="D22" t="s">
        <v>27</v>
      </c>
    </row>
    <row r="24" spans="2:4" x14ac:dyDescent="0.2">
      <c r="B24" t="s">
        <v>40</v>
      </c>
      <c r="D24" t="s">
        <v>41</v>
      </c>
    </row>
    <row r="26" spans="2:4" x14ac:dyDescent="0.2">
      <c r="B26" t="s">
        <v>44</v>
      </c>
      <c r="D26" t="s">
        <v>46</v>
      </c>
    </row>
    <row r="28" spans="2:4" x14ac:dyDescent="0.2">
      <c r="B28" t="s">
        <v>45</v>
      </c>
      <c r="D28" t="s">
        <v>47</v>
      </c>
    </row>
  </sheetData>
  <mergeCells count="1">
    <mergeCell ref="B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97F4-807E-F04E-AEBA-716E89ACCCFC}">
  <dimension ref="A4:L163"/>
  <sheetViews>
    <sheetView tabSelected="1" topLeftCell="A156" zoomScale="200" workbookViewId="0">
      <selection activeCell="B171" sqref="B171"/>
    </sheetView>
  </sheetViews>
  <sheetFormatPr baseColWidth="10" defaultRowHeight="16" x14ac:dyDescent="0.2"/>
  <cols>
    <col min="2" max="2" width="20.6640625" bestFit="1" customWidth="1"/>
    <col min="3" max="3" width="18.5" customWidth="1"/>
    <col min="4" max="4" width="23.5" bestFit="1" customWidth="1"/>
  </cols>
  <sheetData>
    <row r="4" spans="3:9" x14ac:dyDescent="0.2">
      <c r="C4" s="1" t="s">
        <v>6</v>
      </c>
      <c r="D4" s="1" t="s">
        <v>7</v>
      </c>
      <c r="E4" s="1" t="s">
        <v>8</v>
      </c>
      <c r="G4" t="s">
        <v>14</v>
      </c>
    </row>
    <row r="5" spans="3:9" x14ac:dyDescent="0.2">
      <c r="C5" s="2" t="s">
        <v>9</v>
      </c>
      <c r="D5" s="2">
        <v>4000</v>
      </c>
      <c r="E5" s="2">
        <v>17</v>
      </c>
    </row>
    <row r="6" spans="3:9" x14ac:dyDescent="0.2">
      <c r="C6" s="2" t="s">
        <v>10</v>
      </c>
      <c r="D6" s="2">
        <v>5600</v>
      </c>
      <c r="E6" s="2">
        <v>18</v>
      </c>
      <c r="G6">
        <f>COUNTIF(E5:E14,"&gt;18")</f>
        <v>5</v>
      </c>
      <c r="I6" t="str">
        <f ca="1">_xlfn.FORMULATEXT(G6)</f>
        <v>=COUNTIF(E5:E14,"&gt;18")</v>
      </c>
    </row>
    <row r="7" spans="3:9" x14ac:dyDescent="0.2">
      <c r="C7" s="2" t="s">
        <v>11</v>
      </c>
      <c r="D7" s="2">
        <v>9700</v>
      </c>
      <c r="E7" s="2">
        <v>19</v>
      </c>
    </row>
    <row r="8" spans="3:9" x14ac:dyDescent="0.2">
      <c r="C8" s="2" t="s">
        <v>12</v>
      </c>
      <c r="D8" s="2">
        <v>4000</v>
      </c>
      <c r="E8" s="2">
        <v>20</v>
      </c>
      <c r="G8" t="s">
        <v>15</v>
      </c>
    </row>
    <row r="9" spans="3:9" x14ac:dyDescent="0.2">
      <c r="C9" s="2" t="s">
        <v>9</v>
      </c>
      <c r="D9" s="2">
        <v>8000</v>
      </c>
      <c r="E9" s="2">
        <v>21</v>
      </c>
    </row>
    <row r="10" spans="3:9" x14ac:dyDescent="0.2">
      <c r="C10" s="2" t="s">
        <v>10</v>
      </c>
      <c r="D10" s="2">
        <v>9000</v>
      </c>
      <c r="E10" s="2">
        <v>17</v>
      </c>
      <c r="G10">
        <f>COUNTIF(C5:C14,"MH")</f>
        <v>4</v>
      </c>
      <c r="I10" t="str">
        <f ca="1">_xlfn.FORMULATEXT(G10)</f>
        <v>=COUNTIF(C5:C14,"MH")</v>
      </c>
    </row>
    <row r="11" spans="3:9" x14ac:dyDescent="0.2">
      <c r="C11" s="2" t="s">
        <v>11</v>
      </c>
      <c r="D11" s="2">
        <v>15000</v>
      </c>
      <c r="E11" s="2">
        <v>18</v>
      </c>
    </row>
    <row r="12" spans="3:9" x14ac:dyDescent="0.2">
      <c r="C12" s="2" t="s">
        <v>9</v>
      </c>
      <c r="D12" s="2">
        <v>34000</v>
      </c>
      <c r="E12" s="2">
        <v>16</v>
      </c>
    </row>
    <row r="13" spans="3:9" x14ac:dyDescent="0.2">
      <c r="C13" s="2" t="s">
        <v>13</v>
      </c>
      <c r="D13" s="2">
        <v>9000</v>
      </c>
      <c r="E13" s="2">
        <v>20</v>
      </c>
      <c r="G13" t="s">
        <v>16</v>
      </c>
    </row>
    <row r="14" spans="3:9" x14ac:dyDescent="0.2">
      <c r="C14" s="2" t="s">
        <v>9</v>
      </c>
      <c r="D14" s="2">
        <v>9000</v>
      </c>
      <c r="E14" s="2">
        <v>24</v>
      </c>
    </row>
    <row r="15" spans="3:9" x14ac:dyDescent="0.2">
      <c r="G15">
        <f>COUNTIF(D5:D14,"&gt;=10000")</f>
        <v>2</v>
      </c>
      <c r="I15" t="str">
        <f ca="1">_xlfn.FORMULATEXT(G15)</f>
        <v>=COUNTIF(D5:D14,"&gt;=10000")</v>
      </c>
    </row>
    <row r="18" spans="2:12" x14ac:dyDescent="0.2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21" spans="2:12" x14ac:dyDescent="0.2">
      <c r="D21" t="s">
        <v>5</v>
      </c>
      <c r="F21" t="s">
        <v>20</v>
      </c>
    </row>
    <row r="22" spans="2:12" x14ac:dyDescent="0.2">
      <c r="F22" t="s">
        <v>21</v>
      </c>
    </row>
    <row r="25" spans="2:12" x14ac:dyDescent="0.2">
      <c r="D25" t="s">
        <v>17</v>
      </c>
    </row>
    <row r="29" spans="2:12" x14ac:dyDescent="0.2">
      <c r="C29" s="1" t="s">
        <v>6</v>
      </c>
      <c r="D29" s="1" t="s">
        <v>7</v>
      </c>
      <c r="E29" s="1" t="s">
        <v>8</v>
      </c>
    </row>
    <row r="30" spans="2:12" x14ac:dyDescent="0.2">
      <c r="C30" s="2" t="s">
        <v>9</v>
      </c>
      <c r="D30" s="2">
        <v>4000</v>
      </c>
      <c r="E30" s="2">
        <v>17</v>
      </c>
    </row>
    <row r="31" spans="2:12" x14ac:dyDescent="0.2">
      <c r="C31" s="2" t="s">
        <v>10</v>
      </c>
      <c r="D31" s="2">
        <v>5600</v>
      </c>
      <c r="E31" s="2">
        <v>18</v>
      </c>
    </row>
    <row r="32" spans="2:12" x14ac:dyDescent="0.2">
      <c r="C32" s="2" t="s">
        <v>11</v>
      </c>
      <c r="D32" s="2">
        <v>9700</v>
      </c>
      <c r="E32" s="2">
        <v>19</v>
      </c>
      <c r="G32" t="s">
        <v>22</v>
      </c>
    </row>
    <row r="33" spans="2:9" x14ac:dyDescent="0.2">
      <c r="C33" s="2" t="s">
        <v>12</v>
      </c>
      <c r="D33" s="2">
        <v>4000</v>
      </c>
      <c r="E33" s="2">
        <v>20</v>
      </c>
    </row>
    <row r="34" spans="2:9" x14ac:dyDescent="0.2">
      <c r="C34" s="2" t="s">
        <v>9</v>
      </c>
      <c r="D34" s="2">
        <v>8000</v>
      </c>
      <c r="E34" s="2">
        <v>21</v>
      </c>
      <c r="G34">
        <f>COUNTIFS(C30:C39,"MH",D30:D39,"&gt;=10000")</f>
        <v>1</v>
      </c>
      <c r="I34" t="str">
        <f ca="1">_xlfn.FORMULATEXT(G34)</f>
        <v>=COUNTIFS(C30:C39,"MH",D30:D39,"&gt;=10000")</v>
      </c>
    </row>
    <row r="35" spans="2:9" x14ac:dyDescent="0.2">
      <c r="C35" s="2" t="s">
        <v>10</v>
      </c>
      <c r="D35" s="2">
        <v>9000</v>
      </c>
      <c r="E35" s="2">
        <v>17</v>
      </c>
    </row>
    <row r="36" spans="2:9" x14ac:dyDescent="0.2">
      <c r="C36" s="2" t="s">
        <v>11</v>
      </c>
      <c r="D36" s="2">
        <v>15000</v>
      </c>
      <c r="E36" s="2">
        <v>18</v>
      </c>
    </row>
    <row r="37" spans="2:9" x14ac:dyDescent="0.2">
      <c r="C37" s="2" t="s">
        <v>9</v>
      </c>
      <c r="D37" s="2">
        <v>34000</v>
      </c>
      <c r="E37" s="2">
        <v>16</v>
      </c>
      <c r="G37" t="s">
        <v>23</v>
      </c>
    </row>
    <row r="38" spans="2:9" x14ac:dyDescent="0.2">
      <c r="C38" s="2" t="s">
        <v>13</v>
      </c>
      <c r="D38" s="2">
        <v>9000</v>
      </c>
      <c r="E38" s="2">
        <v>20</v>
      </c>
    </row>
    <row r="39" spans="2:9" x14ac:dyDescent="0.2">
      <c r="C39" s="2" t="s">
        <v>9</v>
      </c>
      <c r="D39" s="2">
        <v>9000</v>
      </c>
      <c r="E39" s="2">
        <v>24</v>
      </c>
      <c r="G39">
        <f>COUNTIFS(D30:D39,"&gt;=10000",D30:D39,"&lt;20000")</f>
        <v>1</v>
      </c>
      <c r="I39" t="str">
        <f ca="1">_xlfn.FORMULATEXT(G39)</f>
        <v>=COUNTIFS(D30:D39,"&gt;=10000",D30:D39,"&lt;20000")</v>
      </c>
    </row>
    <row r="42" spans="2:9" x14ac:dyDescent="0.2">
      <c r="B42" s="3"/>
      <c r="C42" s="3"/>
      <c r="D42" s="3"/>
      <c r="E42" s="3"/>
      <c r="F42" s="3"/>
      <c r="G42" s="3"/>
      <c r="H42" s="3"/>
      <c r="I42" s="3"/>
    </row>
    <row r="45" spans="2:9" x14ac:dyDescent="0.2">
      <c r="C45" s="1" t="s">
        <v>6</v>
      </c>
      <c r="D45" s="1" t="s">
        <v>7</v>
      </c>
      <c r="E45" s="1" t="s">
        <v>8</v>
      </c>
    </row>
    <row r="46" spans="2:9" x14ac:dyDescent="0.2">
      <c r="C46" s="2" t="s">
        <v>9</v>
      </c>
      <c r="D46" s="2">
        <v>4000</v>
      </c>
      <c r="E46" s="2">
        <v>17</v>
      </c>
      <c r="G46" t="s">
        <v>28</v>
      </c>
    </row>
    <row r="47" spans="2:9" x14ac:dyDescent="0.2">
      <c r="C47" s="2" t="s">
        <v>10</v>
      </c>
      <c r="D47" s="2">
        <v>5600</v>
      </c>
      <c r="E47" s="2">
        <v>18</v>
      </c>
    </row>
    <row r="48" spans="2:9" x14ac:dyDescent="0.2">
      <c r="C48" s="2" t="s">
        <v>11</v>
      </c>
      <c r="D48" s="2">
        <v>9700</v>
      </c>
      <c r="E48" s="2">
        <v>19</v>
      </c>
      <c r="G48">
        <f>SUMIF(E46:E55,"&lt;=18",D46:D55)</f>
        <v>67600</v>
      </c>
    </row>
    <row r="49" spans="3:9" x14ac:dyDescent="0.2">
      <c r="C49" s="2" t="s">
        <v>12</v>
      </c>
      <c r="D49" s="2">
        <v>4000</v>
      </c>
      <c r="E49" s="2">
        <v>20</v>
      </c>
    </row>
    <row r="50" spans="3:9" x14ac:dyDescent="0.2">
      <c r="C50" s="2" t="s">
        <v>9</v>
      </c>
      <c r="D50" s="2">
        <v>8000</v>
      </c>
      <c r="E50" s="2">
        <v>21</v>
      </c>
    </row>
    <row r="51" spans="3:9" x14ac:dyDescent="0.2">
      <c r="C51" s="2" t="s">
        <v>10</v>
      </c>
      <c r="D51" s="2">
        <v>9000</v>
      </c>
      <c r="E51" s="2">
        <v>17</v>
      </c>
      <c r="G51" t="str">
        <f ca="1">_xlfn.FORMULATEXT(G48)</f>
        <v>=SUMIF(E46:E55,"&lt;=18",D46:D55)</v>
      </c>
    </row>
    <row r="52" spans="3:9" x14ac:dyDescent="0.2">
      <c r="C52" s="2" t="s">
        <v>11</v>
      </c>
      <c r="D52" s="2">
        <v>15000</v>
      </c>
      <c r="E52" s="2">
        <v>18</v>
      </c>
    </row>
    <row r="53" spans="3:9" x14ac:dyDescent="0.2">
      <c r="C53" s="2" t="s">
        <v>9</v>
      </c>
      <c r="D53" s="2">
        <v>34000</v>
      </c>
      <c r="E53" s="2">
        <v>16</v>
      </c>
      <c r="G53" t="s">
        <v>35</v>
      </c>
    </row>
    <row r="54" spans="3:9" x14ac:dyDescent="0.2">
      <c r="C54" s="2" t="s">
        <v>13</v>
      </c>
      <c r="D54" s="2">
        <v>9000</v>
      </c>
      <c r="E54" s="2">
        <v>20</v>
      </c>
    </row>
    <row r="55" spans="3:9" x14ac:dyDescent="0.2">
      <c r="C55" s="2" t="s">
        <v>9</v>
      </c>
      <c r="D55" s="2">
        <v>9000</v>
      </c>
      <c r="E55" s="2">
        <v>24</v>
      </c>
      <c r="G55">
        <f>SUMIF(C46:C55,"BH",D46:D55)</f>
        <v>24700</v>
      </c>
      <c r="I55" t="str">
        <f ca="1">_xlfn.FORMULATEXT(G55)</f>
        <v>=SUMIF(C46:C55,"BH",D46:D55)</v>
      </c>
    </row>
    <row r="57" spans="3:9" x14ac:dyDescent="0.2">
      <c r="G57" t="s">
        <v>36</v>
      </c>
    </row>
    <row r="58" spans="3:9" x14ac:dyDescent="0.2">
      <c r="G58" t="str">
        <f>"&lt;&gt;"</f>
        <v>&lt;&gt;</v>
      </c>
      <c r="H58" t="s">
        <v>37</v>
      </c>
    </row>
    <row r="60" spans="3:9" x14ac:dyDescent="0.2">
      <c r="G60">
        <f>SUMIF(C46:C55,"&lt;&gt;UP",E46:E55)</f>
        <v>155</v>
      </c>
      <c r="I60" t="str">
        <f ca="1">_xlfn.FORMULATEXT(G60)</f>
        <v>=SUMIF(C46:C55,"&lt;&gt;UP",E46:E55)</v>
      </c>
    </row>
    <row r="62" spans="3:9" x14ac:dyDescent="0.2">
      <c r="F62" t="s">
        <v>29</v>
      </c>
      <c r="H62" t="s">
        <v>30</v>
      </c>
    </row>
    <row r="64" spans="3:9" x14ac:dyDescent="0.2">
      <c r="F64" t="s">
        <v>31</v>
      </c>
      <c r="H64" t="s">
        <v>32</v>
      </c>
    </row>
    <row r="66" spans="1:12" x14ac:dyDescent="0.2">
      <c r="F66" t="s">
        <v>33</v>
      </c>
      <c r="H66" t="s">
        <v>34</v>
      </c>
    </row>
    <row r="69" spans="1:12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1" spans="1:12" x14ac:dyDescent="0.2">
      <c r="B71" s="12" t="s">
        <v>25</v>
      </c>
      <c r="C71" s="13"/>
      <c r="D71" s="13"/>
    </row>
    <row r="72" spans="1:12" x14ac:dyDescent="0.2">
      <c r="B72" s="13"/>
      <c r="C72" s="13"/>
      <c r="D72" s="13"/>
    </row>
    <row r="74" spans="1:12" x14ac:dyDescent="0.2">
      <c r="C74" s="6" t="s">
        <v>6</v>
      </c>
      <c r="D74" s="7" t="s">
        <v>7</v>
      </c>
      <c r="E74" s="8" t="s">
        <v>8</v>
      </c>
    </row>
    <row r="75" spans="1:12" x14ac:dyDescent="0.2">
      <c r="C75" s="4" t="s">
        <v>9</v>
      </c>
      <c r="D75" s="2">
        <v>4000</v>
      </c>
      <c r="E75" s="5">
        <v>17</v>
      </c>
      <c r="G75" t="s">
        <v>38</v>
      </c>
    </row>
    <row r="76" spans="1:12" x14ac:dyDescent="0.2">
      <c r="C76" s="4" t="s">
        <v>10</v>
      </c>
      <c r="D76" s="2">
        <v>5600</v>
      </c>
      <c r="E76" s="5">
        <v>18</v>
      </c>
    </row>
    <row r="77" spans="1:12" x14ac:dyDescent="0.2">
      <c r="C77" s="4" t="s">
        <v>11</v>
      </c>
      <c r="D77" s="2">
        <v>9700</v>
      </c>
      <c r="E77" s="5">
        <v>19</v>
      </c>
      <c r="G77">
        <f>SUMIFS(E75:E84,C75:C84,"MH",E75:E84,"&gt;=18")</f>
        <v>45</v>
      </c>
    </row>
    <row r="78" spans="1:12" x14ac:dyDescent="0.2">
      <c r="C78" s="4" t="s">
        <v>12</v>
      </c>
      <c r="D78" s="2">
        <v>4000</v>
      </c>
      <c r="E78" s="5">
        <v>20</v>
      </c>
    </row>
    <row r="79" spans="1:12" x14ac:dyDescent="0.2">
      <c r="C79" s="4" t="s">
        <v>9</v>
      </c>
      <c r="D79" s="2">
        <v>8000</v>
      </c>
      <c r="E79" s="5">
        <v>21</v>
      </c>
      <c r="G79" t="str">
        <f ca="1">_xlfn.FORMULATEXT(G77)</f>
        <v>=SUMIFS(E75:E84,C75:C84,"MH",E75:E84,"&gt;=18")</v>
      </c>
    </row>
    <row r="80" spans="1:12" x14ac:dyDescent="0.2">
      <c r="C80" s="4" t="s">
        <v>10</v>
      </c>
      <c r="D80" s="2">
        <v>9000</v>
      </c>
      <c r="E80" s="5">
        <v>17</v>
      </c>
    </row>
    <row r="81" spans="2:9" x14ac:dyDescent="0.2">
      <c r="C81" s="4" t="s">
        <v>11</v>
      </c>
      <c r="D81" s="2">
        <v>15000</v>
      </c>
      <c r="E81" s="5">
        <v>18</v>
      </c>
    </row>
    <row r="82" spans="2:9" x14ac:dyDescent="0.2">
      <c r="C82" s="4" t="s">
        <v>9</v>
      </c>
      <c r="D82" s="2">
        <v>34000</v>
      </c>
      <c r="E82" s="5">
        <v>16</v>
      </c>
      <c r="G82" t="s">
        <v>24</v>
      </c>
      <c r="H82" t="s">
        <v>39</v>
      </c>
    </row>
    <row r="83" spans="2:9" x14ac:dyDescent="0.2">
      <c r="C83" s="4" t="s">
        <v>13</v>
      </c>
      <c r="D83" s="2">
        <v>9000</v>
      </c>
      <c r="E83" s="5">
        <v>20</v>
      </c>
    </row>
    <row r="84" spans="2:9" x14ac:dyDescent="0.2">
      <c r="C84" s="9" t="s">
        <v>9</v>
      </c>
      <c r="D84" s="10">
        <v>9000</v>
      </c>
      <c r="E84" s="11">
        <v>24</v>
      </c>
      <c r="G84">
        <f>SUMIFS(D75:D84,E75:E84,"&lt;=18")</f>
        <v>67600</v>
      </c>
    </row>
    <row r="86" spans="2:9" x14ac:dyDescent="0.2">
      <c r="H86">
        <f>SUM(D75,D76,D80,D81,D82)</f>
        <v>67600</v>
      </c>
    </row>
    <row r="89" spans="2:9" x14ac:dyDescent="0.2">
      <c r="B89" s="3"/>
      <c r="C89" s="3"/>
      <c r="D89" s="3"/>
      <c r="E89" s="3"/>
      <c r="F89" s="3"/>
      <c r="G89" s="3"/>
      <c r="H89" s="3"/>
      <c r="I89" s="3"/>
    </row>
    <row r="92" spans="2:9" x14ac:dyDescent="0.2">
      <c r="C92" s="14" t="s">
        <v>40</v>
      </c>
      <c r="D92" s="13"/>
      <c r="E92" s="13"/>
    </row>
    <row r="93" spans="2:9" x14ac:dyDescent="0.2">
      <c r="C93" s="13"/>
      <c r="D93" s="13"/>
      <c r="E93" s="13"/>
    </row>
    <row r="95" spans="2:9" x14ac:dyDescent="0.2">
      <c r="C95" t="s">
        <v>42</v>
      </c>
    </row>
    <row r="98" spans="3:7" x14ac:dyDescent="0.2">
      <c r="G98" t="s">
        <v>40</v>
      </c>
    </row>
    <row r="105" spans="3:7" x14ac:dyDescent="0.2">
      <c r="C105" t="s">
        <v>43</v>
      </c>
    </row>
    <row r="106" spans="3:7" x14ac:dyDescent="0.2">
      <c r="C106">
        <v>17</v>
      </c>
      <c r="E106">
        <f>AVERAGE(C106:C115)</f>
        <v>19</v>
      </c>
      <c r="F106" t="str">
        <f ca="1">_xlfn.FORMULATEXT(E106)</f>
        <v>=AVERAGE(C106:C115)</v>
      </c>
    </row>
    <row r="107" spans="3:7" x14ac:dyDescent="0.2">
      <c r="C107">
        <v>18</v>
      </c>
    </row>
    <row r="108" spans="3:7" x14ac:dyDescent="0.2">
      <c r="C108">
        <v>19</v>
      </c>
    </row>
    <row r="109" spans="3:7" x14ac:dyDescent="0.2">
      <c r="C109">
        <v>20</v>
      </c>
      <c r="E109">
        <f>SUM(C106:C115)/COUNT(C106:C115)</f>
        <v>19</v>
      </c>
      <c r="F109" t="str">
        <f ca="1">_xlfn.FORMULATEXT(E109)</f>
        <v>=SUM(C106:C115)/COUNT(C106:C115)</v>
      </c>
    </row>
    <row r="110" spans="3:7" x14ac:dyDescent="0.2">
      <c r="C110">
        <v>21</v>
      </c>
    </row>
    <row r="111" spans="3:7" x14ac:dyDescent="0.2">
      <c r="C111">
        <v>17</v>
      </c>
    </row>
    <row r="112" spans="3:7" x14ac:dyDescent="0.2">
      <c r="C112">
        <v>18</v>
      </c>
    </row>
    <row r="113" spans="1:8" x14ac:dyDescent="0.2">
      <c r="C113">
        <v>16</v>
      </c>
    </row>
    <row r="114" spans="1:8" x14ac:dyDescent="0.2">
      <c r="C114">
        <v>20</v>
      </c>
    </row>
    <row r="115" spans="1:8" x14ac:dyDescent="0.2">
      <c r="C115">
        <v>24</v>
      </c>
    </row>
    <row r="118" spans="1:8" x14ac:dyDescent="0.2">
      <c r="A118" s="3"/>
      <c r="B118" s="3"/>
      <c r="C118" s="3"/>
      <c r="D118" s="3"/>
      <c r="E118" s="3"/>
      <c r="F118" s="3"/>
      <c r="G118" s="3"/>
      <c r="H118" s="3"/>
    </row>
    <row r="121" spans="1:8" x14ac:dyDescent="0.2">
      <c r="B121" t="s">
        <v>44</v>
      </c>
      <c r="D121" t="s">
        <v>45</v>
      </c>
    </row>
    <row r="124" spans="1:8" x14ac:dyDescent="0.2">
      <c r="B124" s="1" t="s">
        <v>6</v>
      </c>
      <c r="C124" s="1" t="s">
        <v>7</v>
      </c>
      <c r="D124" s="1" t="s">
        <v>8</v>
      </c>
      <c r="F124" t="s">
        <v>48</v>
      </c>
    </row>
    <row r="125" spans="1:8" x14ac:dyDescent="0.2">
      <c r="B125" s="2" t="s">
        <v>9</v>
      </c>
      <c r="C125" s="2">
        <v>4000</v>
      </c>
      <c r="D125" s="2">
        <v>17</v>
      </c>
    </row>
    <row r="126" spans="1:8" x14ac:dyDescent="0.2">
      <c r="B126" s="2" t="s">
        <v>10</v>
      </c>
      <c r="C126" s="2">
        <v>5600</v>
      </c>
      <c r="D126" s="2">
        <v>18</v>
      </c>
    </row>
    <row r="127" spans="1:8" x14ac:dyDescent="0.2">
      <c r="B127" s="2" t="s">
        <v>11</v>
      </c>
      <c r="C127" s="2">
        <v>9700</v>
      </c>
      <c r="D127" s="2">
        <v>19</v>
      </c>
      <c r="F127">
        <f>AVERAGEIFS(E75:E84,C75:C84,"MH",E75:E84,"&gt;=18")</f>
        <v>22.5</v>
      </c>
      <c r="H127" t="str">
        <f ca="1">_xlfn.FORMULATEXT(F127)</f>
        <v>=AVERAGEIFS(E75:E84,C75:C84,"MH",E75:E84,"&gt;=18")</v>
      </c>
    </row>
    <row r="128" spans="1:8" x14ac:dyDescent="0.2">
      <c r="B128" s="2" t="s">
        <v>12</v>
      </c>
      <c r="C128" s="2">
        <v>4000</v>
      </c>
      <c r="D128" s="2">
        <v>20</v>
      </c>
    </row>
    <row r="129" spans="2:8" x14ac:dyDescent="0.2">
      <c r="B129" s="2" t="s">
        <v>9</v>
      </c>
      <c r="C129" s="2">
        <v>8000</v>
      </c>
      <c r="D129" s="2">
        <v>21</v>
      </c>
    </row>
    <row r="130" spans="2:8" x14ac:dyDescent="0.2">
      <c r="B130" s="2" t="s">
        <v>10</v>
      </c>
      <c r="C130" s="2">
        <v>9000</v>
      </c>
      <c r="D130" s="2">
        <v>17</v>
      </c>
      <c r="F130" t="s">
        <v>49</v>
      </c>
    </row>
    <row r="131" spans="2:8" x14ac:dyDescent="0.2">
      <c r="B131" s="2" t="s">
        <v>11</v>
      </c>
      <c r="C131" s="2">
        <v>15000</v>
      </c>
      <c r="D131" s="2">
        <v>18</v>
      </c>
    </row>
    <row r="132" spans="2:8" x14ac:dyDescent="0.2">
      <c r="B132" s="2" t="s">
        <v>9</v>
      </c>
      <c r="C132" s="2">
        <v>34000</v>
      </c>
      <c r="D132" s="2">
        <v>16</v>
      </c>
      <c r="F132">
        <f>AVERAGEIFS(C125:C134,B125:B134,"=UP")</f>
        <v>7300</v>
      </c>
      <c r="H132" t="str">
        <f ca="1">_xlfn.FORMULATEXT(F132)</f>
        <v>=AVERAGEIFS(C125:C134,B125:B134,"=UP")</v>
      </c>
    </row>
    <row r="133" spans="2:8" x14ac:dyDescent="0.2">
      <c r="B133" s="2" t="s">
        <v>13</v>
      </c>
      <c r="C133" s="2">
        <v>9000</v>
      </c>
      <c r="D133" s="2">
        <v>20</v>
      </c>
    </row>
    <row r="134" spans="2:8" x14ac:dyDescent="0.2">
      <c r="B134" s="2" t="s">
        <v>9</v>
      </c>
      <c r="C134" s="2">
        <v>9000</v>
      </c>
      <c r="D134" s="2">
        <v>24</v>
      </c>
      <c r="F134">
        <f>AVERAGEIF(B125:B134,"UP",C125:C134)</f>
        <v>7300</v>
      </c>
      <c r="H134" t="str">
        <f ca="1">_xlfn.FORMULATEXT(F134)</f>
        <v>=AVERAGEIF(B125:B134,"UP",C125:C134)</v>
      </c>
    </row>
    <row r="139" spans="2:8" ht="20" x14ac:dyDescent="0.2">
      <c r="B139" s="15" t="s">
        <v>50</v>
      </c>
      <c r="C139" s="15" t="s">
        <v>51</v>
      </c>
      <c r="D139" s="15" t="s">
        <v>52</v>
      </c>
      <c r="E139" s="15" t="s">
        <v>53</v>
      </c>
    </row>
    <row r="140" spans="2:8" ht="20" x14ac:dyDescent="0.2">
      <c r="B140" s="15" t="s">
        <v>54</v>
      </c>
      <c r="C140" s="15" t="s">
        <v>55</v>
      </c>
      <c r="D140" s="15">
        <v>400</v>
      </c>
      <c r="E140" s="15">
        <v>1</v>
      </c>
    </row>
    <row r="141" spans="2:8" ht="20" x14ac:dyDescent="0.2">
      <c r="B141" s="15" t="s">
        <v>56</v>
      </c>
      <c r="C141" s="15" t="s">
        <v>66</v>
      </c>
      <c r="D141" s="15">
        <v>600</v>
      </c>
      <c r="E141" s="15">
        <v>2</v>
      </c>
    </row>
    <row r="142" spans="2:8" ht="20" x14ac:dyDescent="0.2">
      <c r="B142" s="15" t="s">
        <v>57</v>
      </c>
      <c r="C142" s="15" t="s">
        <v>58</v>
      </c>
      <c r="D142" s="15">
        <v>450</v>
      </c>
      <c r="E142" s="15">
        <v>1</v>
      </c>
    </row>
    <row r="143" spans="2:8" ht="20" x14ac:dyDescent="0.2">
      <c r="B143" s="15" t="s">
        <v>59</v>
      </c>
      <c r="C143" s="15" t="s">
        <v>55</v>
      </c>
      <c r="D143" s="15">
        <v>650</v>
      </c>
      <c r="E143" s="15">
        <v>4</v>
      </c>
    </row>
    <row r="144" spans="2:8" ht="20" x14ac:dyDescent="0.2">
      <c r="B144" s="15" t="s">
        <v>60</v>
      </c>
      <c r="C144" s="15" t="s">
        <v>58</v>
      </c>
      <c r="D144" s="15">
        <v>350</v>
      </c>
      <c r="E144" s="15">
        <v>3</v>
      </c>
    </row>
    <row r="145" spans="2:6" ht="20" x14ac:dyDescent="0.2">
      <c r="B145" s="15" t="s">
        <v>61</v>
      </c>
      <c r="C145" s="15" t="s">
        <v>58</v>
      </c>
      <c r="D145" s="15">
        <v>400</v>
      </c>
      <c r="E145" s="15">
        <v>2</v>
      </c>
    </row>
    <row r="148" spans="2:6" ht="20" x14ac:dyDescent="0.2">
      <c r="B148" s="15" t="s">
        <v>62</v>
      </c>
    </row>
    <row r="150" spans="2:6" x14ac:dyDescent="0.2">
      <c r="C150" t="s">
        <v>63</v>
      </c>
      <c r="F150">
        <f>SUMIF(C140:C145,"s*",E140:E145)</f>
        <v>7</v>
      </c>
    </row>
    <row r="158" spans="2:6" x14ac:dyDescent="0.2">
      <c r="C158" t="s">
        <v>64</v>
      </c>
      <c r="D158" t="s">
        <v>65</v>
      </c>
    </row>
    <row r="162" spans="1:7" x14ac:dyDescent="0.2">
      <c r="A162" s="3"/>
      <c r="B162" s="3"/>
      <c r="C162" s="3"/>
      <c r="D162" s="3"/>
      <c r="E162" s="3"/>
      <c r="F162" s="3"/>
      <c r="G162" s="3"/>
    </row>
    <row r="163" spans="1:7" x14ac:dyDescent="0.2">
      <c r="A163" s="3"/>
      <c r="B163" s="3"/>
      <c r="C163" s="3"/>
      <c r="D163" s="3"/>
      <c r="E163" s="3"/>
      <c r="F163" s="3"/>
      <c r="G163" s="3"/>
    </row>
  </sheetData>
  <mergeCells count="2">
    <mergeCell ref="B71:D72"/>
    <mergeCell ref="C92:E93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2026-04-02T15:33:29Z</dcterms:created>
  <dcterms:modified xsi:type="dcterms:W3CDTF">2026-04-03T17:35:53Z</dcterms:modified>
</cp:coreProperties>
</file>