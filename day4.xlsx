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7CA7878-8294-4441-8481-AFE2829CB0F4}" xr6:coauthVersionLast="47" xr6:coauthVersionMax="47" xr10:uidLastSave="{00000000-0000-0000-0000-000000000000}"/>
  <bookViews>
    <workbookView xWindow="380" yWindow="500" windowWidth="28040" windowHeight="16940" activeTab="1" xr2:uid="{F3158F6D-A0DF-9647-A1B4-DAE71EE0F6DB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2" l="1" a="1"/>
  <c r="D60" i="2" s="1"/>
  <c r="J17" i="2"/>
  <c r="J20" i="2"/>
  <c r="E45" i="2" a="1"/>
  <c r="E45" i="2" s="1"/>
  <c r="E39" i="2"/>
  <c r="C22" i="2"/>
  <c r="D31" i="2"/>
  <c r="E36" i="2"/>
  <c r="E25" i="2"/>
  <c r="B28" i="1"/>
  <c r="C14" i="2"/>
  <c r="B24" i="1"/>
  <c r="B22" i="1"/>
  <c r="C12" i="2"/>
  <c r="A12" i="2"/>
  <c r="B26" i="1"/>
  <c r="B30" i="1"/>
  <c r="E9" i="2"/>
  <c r="J12" i="2"/>
  <c r="I11" i="2"/>
  <c r="G11" i="2"/>
  <c r="C9" i="2"/>
  <c r="H7" i="2"/>
  <c r="I5" i="2"/>
  <c r="H2" i="2"/>
  <c r="D11" i="2"/>
  <c r="D8" i="2"/>
  <c r="G2" i="2"/>
  <c r="G3" i="2"/>
  <c r="H3" i="2" s="1"/>
  <c r="G4" i="2"/>
  <c r="H4" i="2" s="1"/>
  <c r="G5" i="2"/>
  <c r="H5" i="2" s="1"/>
  <c r="F3" i="2"/>
  <c r="F4" i="2"/>
  <c r="F5" i="2"/>
  <c r="F2" i="2"/>
  <c r="E3" i="2"/>
  <c r="E4" i="2"/>
  <c r="E5" i="2"/>
  <c r="E2" i="2"/>
  <c r="D3" i="2"/>
  <c r="D4" i="2"/>
  <c r="D5" i="2"/>
  <c r="D2" i="2"/>
  <c r="B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<sst xmlns="http://schemas.openxmlformats.org/spreadsheetml/2006/main" count="71" uniqueCount="52">
  <si>
    <t>ARITHMETIC FUNCTIONS</t>
  </si>
  <si>
    <t>Very basic mathematical Operations which everyone should know.</t>
  </si>
  <si>
    <t>Purchased Units</t>
  </si>
  <si>
    <t>Returned Units</t>
  </si>
  <si>
    <t>NET</t>
  </si>
  <si>
    <t>MOD()</t>
  </si>
  <si>
    <t>When we want Remainder ( basically  decimal part) we use this func instead of /</t>
  </si>
  <si>
    <t xml:space="preserve">When we want only Quotient </t>
  </si>
  <si>
    <t>remove MOD from Numer</t>
  </si>
  <si>
    <t>FLOOR ()</t>
  </si>
  <si>
    <t>COMPLETE DIV (/)</t>
  </si>
  <si>
    <t>REMAINDER</t>
  </si>
  <si>
    <t>Quot</t>
  </si>
  <si>
    <t>COUNT</t>
  </si>
  <si>
    <t>COUNTING</t>
  </si>
  <si>
    <t>Simple COUNT</t>
  </si>
  <si>
    <t>COUNT ALL</t>
  </si>
  <si>
    <t>COUNT ONLY WHEN A CONDITION IS MET</t>
  </si>
  <si>
    <t>COUNT ONLY WHEN MULTIPLE CONDITIONS ARE MET</t>
  </si>
  <si>
    <t>COUNT EMPTY/BLANK CELLS ONLY</t>
  </si>
  <si>
    <t>WE CAN GIVE VALUES Dir, but Its not preffered</t>
  </si>
  <si>
    <t>COUNTIFS</t>
  </si>
  <si>
    <t>COUNTIF</t>
  </si>
  <si>
    <t>Apple</t>
  </si>
  <si>
    <t>mango</t>
  </si>
  <si>
    <t>orange</t>
  </si>
  <si>
    <t>RANGE is where I want to count, crit is exact match or any numerical condition AS A STRING</t>
  </si>
  <si>
    <t>COUNT(B1:B8,"1")</t>
  </si>
  <si>
    <t>NAME</t>
  </si>
  <si>
    <t>Utkarsh</t>
  </si>
  <si>
    <t>Shyaam</t>
  </si>
  <si>
    <t>Raam</t>
  </si>
  <si>
    <t>Gita</t>
  </si>
  <si>
    <t>Saahil</t>
  </si>
  <si>
    <t>Sam</t>
  </si>
  <si>
    <t>UNIQUE</t>
  </si>
  <si>
    <t>Return UNIQUE values</t>
  </si>
  <si>
    <t>Edu</t>
  </si>
  <si>
    <t>UG</t>
  </si>
  <si>
    <t>PG</t>
  </si>
  <si>
    <t>PHD</t>
  </si>
  <si>
    <t>FALSE AND TRUE</t>
  </si>
  <si>
    <t>0 &amp; 1</t>
  </si>
  <si>
    <t>CITY</t>
  </si>
  <si>
    <t>Mumbai</t>
  </si>
  <si>
    <t>Delhi</t>
  </si>
  <si>
    <t>Indore</t>
  </si>
  <si>
    <t>Madras</t>
  </si>
  <si>
    <t>Mysore</t>
  </si>
  <si>
    <t>CITY name must start wth M, and Count less than 4000</t>
  </si>
  <si>
    <t>VALUE 1</t>
  </si>
  <si>
    <t>Value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</si>
</sst>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0"/>
    <numFmt numFmtId="170" formatCode="0.000"/>
  </numFmts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8" fontId="0" fillId="0" borderId="0" xfId="0" applyNumberFormat="1"/>
    <xf numFmtId="170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B5CE8-436F-EF4D-BB37-258E9FF9DB5D}">
  <dimension ref="B2:I42"/>
  <sheetViews>
    <sheetView topLeftCell="A21" zoomScale="125" workbookViewId="0">
      <selection activeCell="B43" sqref="B43"/>
    </sheetView>
  </sheetViews>
  <sheetFormatPr baseColWidth="10" defaultRowHeight="16" x14ac:dyDescent="0.2"/>
  <cols>
    <col min="2" max="2" width="55.6640625" bestFit="1" customWidth="1"/>
  </cols>
  <sheetData>
    <row r="2" spans="2:6" x14ac:dyDescent="0.2">
      <c r="B2" t="s">
        <v>0</v>
      </c>
    </row>
    <row r="4" spans="2:6" x14ac:dyDescent="0.2">
      <c r="B4" t="s">
        <v>1</v>
      </c>
    </row>
    <row r="5" spans="2:6" x14ac:dyDescent="0.2">
      <c r="B5" s="3"/>
      <c r="C5" s="3"/>
      <c r="D5" s="3"/>
      <c r="E5" s="3"/>
      <c r="F5" s="3"/>
    </row>
    <row r="6" spans="2:6" x14ac:dyDescent="0.2">
      <c r="B6" t="str">
        <f>"+,-,*,/"</f>
        <v>+,-,*,/</v>
      </c>
    </row>
    <row r="8" spans="2:6" x14ac:dyDescent="0.2">
      <c r="B8" t="s">
        <v>5</v>
      </c>
      <c r="C8" t="s">
        <v>6</v>
      </c>
    </row>
    <row r="10" spans="2:6" x14ac:dyDescent="0.2">
      <c r="B10" t="s">
        <v>7</v>
      </c>
    </row>
    <row r="12" spans="2:6" x14ac:dyDescent="0.2">
      <c r="B12" t="s">
        <v>8</v>
      </c>
    </row>
    <row r="14" spans="2:6" x14ac:dyDescent="0.2">
      <c r="B14" t="s">
        <v>9</v>
      </c>
    </row>
    <row r="16" spans="2:6" x14ac:dyDescent="0.2">
      <c r="B16" s="3"/>
      <c r="C16" s="3"/>
      <c r="D16" s="3"/>
      <c r="E16" s="3"/>
    </row>
    <row r="19" spans="2:9" x14ac:dyDescent="0.2">
      <c r="B19" t="s">
        <v>14</v>
      </c>
      <c r="E19" t="s">
        <v>20</v>
      </c>
    </row>
    <row r="22" spans="2:9" x14ac:dyDescent="0.2">
      <c r="B22" t="str">
        <f>"COUNT(&lt;RANGE&gt;)"</f>
        <v>COUNT(&lt;RANGE&gt;)</v>
      </c>
      <c r="D22" t="s">
        <v>15</v>
      </c>
    </row>
    <row r="24" spans="2:9" x14ac:dyDescent="0.2">
      <c r="B24" t="str">
        <f>"COUNTA(&lt;RANGE&gt;)"</f>
        <v>COUNTA(&lt;RANGE&gt;)</v>
      </c>
      <c r="D24" t="s">
        <v>16</v>
      </c>
    </row>
    <row r="26" spans="2:9" x14ac:dyDescent="0.2">
      <c r="B26" t="str">
        <f>"COUNTBLANK()"</f>
        <v>COUNTBLANK()</v>
      </c>
      <c r="D26" t="s">
        <v>19</v>
      </c>
    </row>
    <row r="28" spans="2:9" x14ac:dyDescent="0.2">
      <c r="B28" t="str">
        <f>"COUNTIF(&lt;RANGE&gt;,&lt;CRITERIA&gt;)"</f>
        <v>COUNTIF(&lt;RANGE&gt;,&lt;CRITERIA&gt;)</v>
      </c>
      <c r="D28" t="s">
        <v>17</v>
      </c>
      <c r="I28" t="s">
        <v>26</v>
      </c>
    </row>
    <row r="30" spans="2:9" x14ac:dyDescent="0.2">
      <c r="B30" t="str">
        <f>"COUNTIFS()"</f>
        <v>COUNTIFS()</v>
      </c>
      <c r="D30" t="s">
        <v>18</v>
      </c>
    </row>
    <row r="33" spans="2:4" x14ac:dyDescent="0.2">
      <c r="B33" s="3"/>
      <c r="C33" s="3"/>
      <c r="D33" s="3"/>
    </row>
    <row r="37" spans="2:4" x14ac:dyDescent="0.2">
      <c r="B37" t="s">
        <v>35</v>
      </c>
      <c r="D37" t="s">
        <v>36</v>
      </c>
    </row>
    <row r="40" spans="2:4" x14ac:dyDescent="0.2">
      <c r="B40" t="s">
        <v>41</v>
      </c>
    </row>
    <row r="42" spans="2:4" x14ac:dyDescent="0.2">
      <c r="B42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F630-4F9B-6A40-B528-2465ADC51018}">
  <dimension ref="A1:J60"/>
  <sheetViews>
    <sheetView tabSelected="1" topLeftCell="A4" zoomScale="138" workbookViewId="0">
      <selection activeCell="D11" sqref="D11"/>
    </sheetView>
  </sheetViews>
  <sheetFormatPr baseColWidth="10" defaultRowHeight="16" x14ac:dyDescent="0.2"/>
  <cols>
    <col min="1" max="1" width="14.1640625" bestFit="1" customWidth="1"/>
    <col min="7" max="7" width="12.83203125" bestFit="1" customWidth="1"/>
  </cols>
  <sheetData>
    <row r="1" spans="1:10" x14ac:dyDescent="0.2">
      <c r="A1" t="s">
        <v>2</v>
      </c>
      <c r="B1" t="s">
        <v>3</v>
      </c>
      <c r="D1" t="s">
        <v>4</v>
      </c>
    </row>
    <row r="2" spans="1:10" x14ac:dyDescent="0.2">
      <c r="A2">
        <v>40</v>
      </c>
      <c r="B2">
        <v>4</v>
      </c>
      <c r="D2">
        <f>A2-B2</f>
        <v>36</v>
      </c>
      <c r="E2">
        <f>A2+B2</f>
        <v>44</v>
      </c>
      <c r="F2">
        <f>B2*2</f>
        <v>8</v>
      </c>
      <c r="G2" s="1">
        <f>A2/B2</f>
        <v>10</v>
      </c>
      <c r="H2">
        <f>FLOOR(G2,1)</f>
        <v>10</v>
      </c>
    </row>
    <row r="3" spans="1:10" x14ac:dyDescent="0.2">
      <c r="A3">
        <v>62</v>
      </c>
      <c r="B3">
        <v>6</v>
      </c>
      <c r="D3">
        <f t="shared" ref="D3:D5" si="0">A3-B3</f>
        <v>56</v>
      </c>
      <c r="E3">
        <f t="shared" ref="E3:E5" si="1">A3+B3</f>
        <v>68</v>
      </c>
      <c r="F3">
        <f t="shared" ref="F3:F5" si="2">B3*2</f>
        <v>12</v>
      </c>
      <c r="G3" s="1">
        <f t="shared" ref="G3:G5" si="3">A3/B3</f>
        <v>10.333333333333334</v>
      </c>
      <c r="H3">
        <f t="shared" ref="H3:H5" si="4">FLOOR(G3,1)</f>
        <v>10</v>
      </c>
    </row>
    <row r="4" spans="1:10" x14ac:dyDescent="0.2">
      <c r="A4">
        <v>83</v>
      </c>
      <c r="B4">
        <v>7</v>
      </c>
      <c r="D4">
        <f t="shared" si="0"/>
        <v>76</v>
      </c>
      <c r="E4">
        <f t="shared" si="1"/>
        <v>90</v>
      </c>
      <c r="F4">
        <f t="shared" si="2"/>
        <v>14</v>
      </c>
      <c r="G4" s="1">
        <f t="shared" si="3"/>
        <v>11.857142857142858</v>
      </c>
      <c r="H4">
        <f t="shared" si="4"/>
        <v>11</v>
      </c>
    </row>
    <row r="5" spans="1:10" x14ac:dyDescent="0.2">
      <c r="A5">
        <v>78</v>
      </c>
      <c r="B5">
        <v>8</v>
      </c>
      <c r="D5">
        <f t="shared" si="0"/>
        <v>70</v>
      </c>
      <c r="E5">
        <f t="shared" si="1"/>
        <v>86</v>
      </c>
      <c r="F5">
        <f t="shared" si="2"/>
        <v>16</v>
      </c>
      <c r="G5" s="1">
        <f t="shared" si="3"/>
        <v>9.75</v>
      </c>
      <c r="H5">
        <f t="shared" si="4"/>
        <v>9</v>
      </c>
      <c r="I5">
        <f>MOD(A5,B5)</f>
        <v>6</v>
      </c>
    </row>
    <row r="7" spans="1:10" x14ac:dyDescent="0.2">
      <c r="H7">
        <f>8*9+6</f>
        <v>78</v>
      </c>
    </row>
    <row r="8" spans="1:10" x14ac:dyDescent="0.2">
      <c r="D8" t="str">
        <f>"8/3 --&gt; 2"</f>
        <v>8/3 --&gt; 2</v>
      </c>
    </row>
    <row r="9" spans="1:10" x14ac:dyDescent="0.2">
      <c r="C9">
        <f>(8-MOD(8,3))/3</f>
        <v>2</v>
      </c>
      <c r="E9" s="2">
        <f>8/3</f>
        <v>2.6666666666666665</v>
      </c>
    </row>
    <row r="10" spans="1:10" x14ac:dyDescent="0.2">
      <c r="B10" t="s">
        <v>13</v>
      </c>
      <c r="G10" t="s">
        <v>10</v>
      </c>
      <c r="I10" t="s">
        <v>11</v>
      </c>
      <c r="J10" t="s">
        <v>12</v>
      </c>
    </row>
    <row r="11" spans="1:10" x14ac:dyDescent="0.2">
      <c r="A11" t="s">
        <v>13</v>
      </c>
      <c r="D11">
        <f>MOD(10,3)</f>
        <v>1</v>
      </c>
      <c r="F11">
        <v>17</v>
      </c>
      <c r="G11">
        <f>F11/F12</f>
        <v>5.666666666666667</v>
      </c>
      <c r="I11">
        <f>MOD(F11,F12)</f>
        <v>2</v>
      </c>
    </row>
    <row r="12" spans="1:10" x14ac:dyDescent="0.2">
      <c r="A12">
        <f>COUNT(A2:A5)</f>
        <v>4</v>
      </c>
      <c r="C12">
        <f>COUNTA(A2:A5)</f>
        <v>4</v>
      </c>
      <c r="F12">
        <v>3</v>
      </c>
      <c r="J12">
        <f>FLOOR(F11/F12,1)</f>
        <v>5</v>
      </c>
    </row>
    <row r="14" spans="1:10" x14ac:dyDescent="0.2">
      <c r="C14">
        <f>COUNTBLANK(A2:A5)</f>
        <v>0</v>
      </c>
    </row>
    <row r="15" spans="1:10" x14ac:dyDescent="0.2">
      <c r="I15" t="s">
        <v>49</v>
      </c>
    </row>
    <row r="16" spans="1:10" x14ac:dyDescent="0.2">
      <c r="F16" t="s">
        <v>43</v>
      </c>
      <c r="G16" t="s">
        <v>50</v>
      </c>
      <c r="H16" t="s">
        <v>51</v>
      </c>
    </row>
    <row r="17" spans="2:10" x14ac:dyDescent="0.2">
      <c r="F17" s="3" t="s">
        <v>44</v>
      </c>
      <c r="G17" s="3">
        <v>2000</v>
      </c>
      <c r="H17" s="3">
        <v>72902</v>
      </c>
      <c r="J17">
        <f>COUNTIFS(F17:F21,"M*",G17:G21,"&lt;4000",H17:H21,"&gt;10000")</f>
        <v>1</v>
      </c>
    </row>
    <row r="18" spans="2:10" x14ac:dyDescent="0.2">
      <c r="F18" t="s">
        <v>45</v>
      </c>
      <c r="G18">
        <v>3000</v>
      </c>
      <c r="H18">
        <v>8720</v>
      </c>
    </row>
    <row r="19" spans="2:10" x14ac:dyDescent="0.2">
      <c r="F19" t="s">
        <v>46</v>
      </c>
      <c r="G19">
        <v>4000</v>
      </c>
      <c r="H19">
        <v>10238</v>
      </c>
    </row>
    <row r="20" spans="2:10" x14ac:dyDescent="0.2">
      <c r="F20" s="3" t="s">
        <v>47</v>
      </c>
      <c r="G20">
        <v>5000</v>
      </c>
      <c r="H20">
        <v>11756</v>
      </c>
      <c r="J20">
        <f>COUNTIF(F17:F21,"M*")</f>
        <v>3</v>
      </c>
    </row>
    <row r="21" spans="2:10" x14ac:dyDescent="0.2">
      <c r="B21" t="s">
        <v>22</v>
      </c>
      <c r="F21" s="3" t="s">
        <v>48</v>
      </c>
      <c r="G21">
        <v>6000</v>
      </c>
      <c r="H21">
        <v>13274</v>
      </c>
    </row>
    <row r="22" spans="2:10" x14ac:dyDescent="0.2">
      <c r="C22">
        <f>COUNTIF(B2:B5,"&gt;5")</f>
        <v>3</v>
      </c>
    </row>
    <row r="24" spans="2:10" x14ac:dyDescent="0.2">
      <c r="B24" s="4"/>
      <c r="C24" t="s">
        <v>23</v>
      </c>
    </row>
    <row r="25" spans="2:10" x14ac:dyDescent="0.2">
      <c r="B25" s="4"/>
      <c r="C25" t="s">
        <v>24</v>
      </c>
      <c r="E25">
        <f>COUNTIF(C24:C27,"mango")</f>
        <v>2</v>
      </c>
    </row>
    <row r="26" spans="2:10" x14ac:dyDescent="0.2">
      <c r="B26" s="4"/>
      <c r="C26" t="s">
        <v>24</v>
      </c>
    </row>
    <row r="27" spans="2:10" x14ac:dyDescent="0.2">
      <c r="B27" s="4"/>
      <c r="C27" t="s">
        <v>25</v>
      </c>
    </row>
    <row r="30" spans="2:10" x14ac:dyDescent="0.2">
      <c r="B30" t="s">
        <v>21</v>
      </c>
    </row>
    <row r="31" spans="2:10" x14ac:dyDescent="0.2">
      <c r="D31">
        <f>COUNTIFS(B2:B5,"&gt;5",B2:B5,"&lt;9")</f>
        <v>3</v>
      </c>
    </row>
    <row r="34" spans="2:5" x14ac:dyDescent="0.2">
      <c r="C34" s="5" t="s">
        <v>27</v>
      </c>
    </row>
    <row r="36" spans="2:5" x14ac:dyDescent="0.2">
      <c r="E36" t="str">
        <f>"COUNTIF(B2:B5,'&lt;5')"</f>
        <v>COUNTIF(B2:B5,'&lt;5')</v>
      </c>
    </row>
    <row r="37" spans="2:5" x14ac:dyDescent="0.2">
      <c r="B37" t="s">
        <v>28</v>
      </c>
      <c r="C37" t="s">
        <v>37</v>
      </c>
    </row>
    <row r="38" spans="2:5" x14ac:dyDescent="0.2">
      <c r="B38" t="s">
        <v>29</v>
      </c>
      <c r="C38" t="s">
        <v>38</v>
      </c>
    </row>
    <row r="39" spans="2:5" x14ac:dyDescent="0.2">
      <c r="B39" t="s">
        <v>30</v>
      </c>
      <c r="C39" t="s">
        <v>39</v>
      </c>
      <c r="E39">
        <f>COUNTIF(B38:B43,"Sa*")</f>
        <v>2</v>
      </c>
    </row>
    <row r="40" spans="2:5" x14ac:dyDescent="0.2">
      <c r="B40" t="s">
        <v>31</v>
      </c>
      <c r="C40" t="s">
        <v>40</v>
      </c>
    </row>
    <row r="41" spans="2:5" x14ac:dyDescent="0.2">
      <c r="B41" t="s">
        <v>32</v>
      </c>
      <c r="C41" t="s">
        <v>40</v>
      </c>
    </row>
    <row r="42" spans="2:5" x14ac:dyDescent="0.2">
      <c r="B42" t="s">
        <v>34</v>
      </c>
      <c r="C42" t="s">
        <v>38</v>
      </c>
    </row>
    <row r="43" spans="2:5" x14ac:dyDescent="0.2">
      <c r="B43" t="s">
        <v>33</v>
      </c>
      <c r="C43" t="s">
        <v>39</v>
      </c>
    </row>
    <row r="45" spans="2:5" x14ac:dyDescent="0.2">
      <c r="E45" t="str" cm="1">
        <f t="array" ref="E45:E47">_xlfn.UNIQUE(C38:C43)</f>
        <v>UG</v>
      </c>
    </row>
    <row r="46" spans="2:5" x14ac:dyDescent="0.2">
      <c r="E46" t="str">
        <v>PG</v>
      </c>
    </row>
    <row r="47" spans="2:5" x14ac:dyDescent="0.2">
      <c r="E47" t="str">
        <v>PHD</v>
      </c>
    </row>
    <row r="54" spans="2:8" x14ac:dyDescent="0.2">
      <c r="B54" t="s">
        <v>28</v>
      </c>
      <c r="C54" t="s">
        <v>29</v>
      </c>
      <c r="D54" t="s">
        <v>30</v>
      </c>
      <c r="E54" t="s">
        <v>31</v>
      </c>
      <c r="F54" t="s">
        <v>32</v>
      </c>
      <c r="G54" t="s">
        <v>34</v>
      </c>
      <c r="H54" t="s">
        <v>33</v>
      </c>
    </row>
    <row r="55" spans="2:8" x14ac:dyDescent="0.2">
      <c r="B55" t="s">
        <v>37</v>
      </c>
      <c r="C55" t="s">
        <v>38</v>
      </c>
      <c r="D55" t="s">
        <v>39</v>
      </c>
      <c r="E55" t="s">
        <v>40</v>
      </c>
      <c r="F55" t="s">
        <v>40</v>
      </c>
      <c r="G55" t="s">
        <v>38</v>
      </c>
      <c r="H55" t="s">
        <v>39</v>
      </c>
    </row>
    <row r="60" spans="2:8" x14ac:dyDescent="0.2">
      <c r="D60" t="str" cm="1">
        <f t="array" ref="D60:F60">_xlfn.UNIQUE(C55:H55,TRUE)</f>
        <v>UG</v>
      </c>
      <c r="E60" t="str">
        <v>PG</v>
      </c>
      <c r="F60" t="str">
        <v>PHD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2026-01-08T15:38:27Z</dcterms:created>
  <dcterms:modified xsi:type="dcterms:W3CDTF">2026-01-08T17:34:26Z</dcterms:modified>
</cp:coreProperties>
</file>