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drawings/drawing3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14193A68-7257-5340-A954-A6881828DCA4}" xr6:coauthVersionLast="47" xr6:coauthVersionMax="47" xr10:uidLastSave="{00000000-0000-0000-0000-000000000000}"/>
  <bookViews>
    <workbookView xWindow="0" yWindow="600" windowWidth="28800" windowHeight="17400" activeTab="1" xr2:uid="{92D33A4A-D0C6-9E4C-959A-34BF66090C61}"/>
  </bookViews>
  <sheets>
    <sheet name="agenda" sheetId="1" r:id="rId1"/>
    <sheet name="central_tendency" sheetId="2" r:id="rId2"/>
    <sheet name="COUNTING" sheetId="3" r:id="rId3"/>
    <sheet name="Sheet4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2" l="1"/>
  <c r="E37" i="4"/>
  <c r="E35" i="4"/>
  <c r="F24" i="4"/>
  <c r="D24" i="4" a="1"/>
  <c r="F20" i="4"/>
  <c r="D20" i="4" a="1"/>
  <c r="D9" i="4"/>
  <c r="C9" i="4"/>
  <c r="C7" i="4"/>
  <c r="D7" i="4"/>
  <c r="G48" i="2"/>
  <c r="D45" i="2" a="1"/>
  <c r="E5" i="3"/>
  <c r="D5" i="3"/>
  <c r="E4" i="3"/>
  <c r="D4" i="3"/>
  <c r="E3" i="3"/>
  <c r="D3" i="3"/>
  <c r="B28" i="1"/>
  <c r="D28" i="1"/>
  <c r="B25" i="1"/>
  <c r="D25" i="1"/>
  <c r="E69" i="2"/>
  <c r="H48" i="2"/>
  <c r="F38" i="2"/>
  <c r="G37" i="2"/>
  <c r="G38" i="2"/>
  <c r="G36" i="2"/>
  <c r="D32" i="2" a="1"/>
  <c r="C22" i="2"/>
  <c r="B22" i="2"/>
  <c r="F8" i="2"/>
  <c r="E8" i="2"/>
  <c r="F37" i="2" l="1"/>
  <c r="F3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<sst xmlns="http://schemas.openxmlformats.org/spreadsheetml/2006/main" count="59" uniqueCount="41">
  <si>
    <t>BASIC Statistics</t>
  </si>
  <si>
    <t>MEASURES of CENTRAL TENDENCY</t>
  </si>
  <si>
    <t>MEAN</t>
  </si>
  <si>
    <t>MEDIAN</t>
  </si>
  <si>
    <t>MODE</t>
  </si>
  <si>
    <t xml:space="preserve">We need one number for ENTIRE DATA </t>
  </si>
  <si>
    <t>to RECORD / REPORT</t>
  </si>
  <si>
    <t>AVERAGE</t>
  </si>
  <si>
    <t>Middle of the (sorted) DATA</t>
  </si>
  <si>
    <t>Data Point</t>
  </si>
  <si>
    <t>RANK / ORDER</t>
  </si>
  <si>
    <t>RANK</t>
  </si>
  <si>
    <t>DATA POINT</t>
  </si>
  <si>
    <t>MEAN = SUM/COUNT</t>
  </si>
  <si>
    <t xml:space="preserve">ODD Num of Obs : </t>
  </si>
  <si>
    <t>Exact Middle Data point in sorted data</t>
  </si>
  <si>
    <t xml:space="preserve">EVEN Num of Obs : </t>
  </si>
  <si>
    <t>AVG. of Middle two</t>
  </si>
  <si>
    <t>MOST REPEATED VALUE in the data</t>
  </si>
  <si>
    <t>Value with highest Frequency</t>
  </si>
  <si>
    <t>SUM</t>
  </si>
  <si>
    <t>To add Data points</t>
  </si>
  <si>
    <t>COUNTING</t>
  </si>
  <si>
    <t>COUNT</t>
  </si>
  <si>
    <t>COUNTA</t>
  </si>
  <si>
    <t>COUNTBLANK</t>
  </si>
  <si>
    <t>Will Count the NUMBERS in cells</t>
  </si>
  <si>
    <t>Counts every cell that is NOT EMPTY</t>
  </si>
  <si>
    <t>COUnTS the cell that are empty</t>
  </si>
  <si>
    <t>hdaed</t>
  </si>
  <si>
    <t>d2l</t>
  </si>
  <si>
    <t>MODULUS</t>
  </si>
  <si>
    <t>MOD</t>
  </si>
  <si>
    <t>UNIQUE</t>
  </si>
  <si>
    <t>Apple</t>
  </si>
  <si>
    <t>Mango</t>
  </si>
  <si>
    <t>Banana</t>
  </si>
  <si>
    <t xml:space="preserve">MODE.MULT </t>
  </si>
  <si>
    <t>MULTIPLE modes</t>
  </si>
  <si>
    <t>MODE.SNGL</t>
  </si>
  <si>
    <t>Single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</si>
</sst>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/>
    <xf numFmtId="0" fontId="5" fillId="0" borderId="0" xfId="0" applyFont="1"/>
    <xf numFmtId="0" fontId="1" fillId="0" borderId="0" xfId="0" applyFont="1"/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ustomXml" Target="../ink/ink3.xml"/><Relationship Id="rId2" Type="http://schemas.openxmlformats.org/officeDocument/2006/relationships/image" Target="../media/image3.png"/><Relationship Id="rId1" Type="http://schemas.openxmlformats.org/officeDocument/2006/relationships/customXml" Target="../ink/ink2.xml"/><Relationship Id="rId6" Type="http://schemas.openxmlformats.org/officeDocument/2006/relationships/image" Target="../media/image5.png"/><Relationship Id="rId5" Type="http://schemas.openxmlformats.org/officeDocument/2006/relationships/customXml" Target="../ink/ink4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552683</xdr:colOff>
      <xdr:row>7</xdr:row>
      <xdr:rowOff>89124</xdr:rowOff>
    </xdr:from>
    <xdr:to>
      <xdr:col>4</xdr:col>
      <xdr:colOff>801095</xdr:colOff>
      <xdr:row>14</xdr:row>
      <xdr:rowOff>186967</xdr:rowOff>
    </xdr:to>
    <xdr:pic>
      <xdr:nvPicPr>
        <xdr:cNvPr id="2" name="Picture 1" descr="No photo description available.">
          <a:extLst>
            <a:ext uri="{FF2B5EF4-FFF2-40B4-BE49-F238E27FC236}">
              <a16:creationId xmlns:a16="http://schemas.microsoft.com/office/drawing/2014/main" id="{432C4522-C984-C412-B867-410ECC6A7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25841" y="1518802"/>
          <a:ext cx="1072798" cy="1527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621725</xdr:colOff>
      <xdr:row>14</xdr:row>
      <xdr:rowOff>191403</xdr:rowOff>
    </xdr:from>
    <xdr:to>
      <xdr:col>4</xdr:col>
      <xdr:colOff>604938</xdr:colOff>
      <xdr:row>19</xdr:row>
      <xdr:rowOff>89530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BBFE0A9B-1B00-89C5-FCDA-407616A51751}"/>
                </a:ext>
              </a:extLst>
            </xdr14:cNvPr>
            <xdr14:cNvContentPartPr/>
          </xdr14:nvContentPartPr>
          <xdr14:nvPr macro=""/>
          <xdr14:xfrm>
            <a:off x="3104859" y="3022050"/>
            <a:ext cx="810925" cy="909072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BBFE0A9B-1B00-89C5-FCDA-407616A5175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098740" y="3015932"/>
              <a:ext cx="823163" cy="921308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166284</xdr:colOff>
      <xdr:row>1</xdr:row>
      <xdr:rowOff>2523</xdr:rowOff>
    </xdr:from>
    <xdr:to>
      <xdr:col>4</xdr:col>
      <xdr:colOff>623352</xdr:colOff>
      <xdr:row>5</xdr:row>
      <xdr:rowOff>151937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5657B5F7-3F5F-9C9F-6842-02E268DC2717}"/>
                </a:ext>
              </a:extLst>
            </xdr14:cNvPr>
            <xdr14:cNvContentPartPr/>
          </xdr14:nvContentPartPr>
          <xdr14:nvPr macro=""/>
          <xdr14:xfrm>
            <a:off x="2645280" y="207720"/>
            <a:ext cx="1283400" cy="97020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5657B5F7-3F5F-9C9F-6842-02E268DC271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9162" y="201600"/>
              <a:ext cx="1295637" cy="98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211512</xdr:colOff>
      <xdr:row>5</xdr:row>
      <xdr:rowOff>77417</xdr:rowOff>
    </xdr:from>
    <xdr:to>
      <xdr:col>4</xdr:col>
      <xdr:colOff>352272</xdr:colOff>
      <xdr:row>5</xdr:row>
      <xdr:rowOff>86777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62ED1D54-6EFF-9E16-1985-FF2F21D3DE27}"/>
                </a:ext>
              </a:extLst>
            </xdr14:cNvPr>
            <xdr14:cNvContentPartPr/>
          </xdr14:nvContentPartPr>
          <xdr14:nvPr macro=""/>
          <xdr14:xfrm>
            <a:off x="3516840" y="1103400"/>
            <a:ext cx="140760" cy="936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62ED1D54-6EFF-9E16-1985-FF2F21D3DE2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462840" y="995760"/>
              <a:ext cx="248400" cy="2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87312</xdr:colOff>
      <xdr:row>1</xdr:row>
      <xdr:rowOff>32043</xdr:rowOff>
    </xdr:from>
    <xdr:to>
      <xdr:col>4</xdr:col>
      <xdr:colOff>321312</xdr:colOff>
      <xdr:row>1</xdr:row>
      <xdr:rowOff>64443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BE9BF83F-9582-3E7B-10DE-CFA5A4DA15ED}"/>
                </a:ext>
              </a:extLst>
            </xdr14:cNvPr>
            <xdr14:cNvContentPartPr/>
          </xdr14:nvContentPartPr>
          <xdr14:nvPr macro=""/>
          <xdr14:xfrm>
            <a:off x="3392640" y="237240"/>
            <a:ext cx="234000" cy="324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BE9BF83F-9582-3E7B-10DE-CFA5A4DA15E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339000" y="129240"/>
              <a:ext cx="341640" cy="2480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30:00.00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213 79 24575,'40'0'0,"40"0"0,-21 0 0,6 0 0,7 0 0,0 0 0,-4 0 0,-4 0 0,35 0 0,-39 0 0,-27 1 0,-21 0 0,-12 2 0,-11 0 0,-17 0 0,-25-1 0,-31-5 0,29-2 0,-3-1 0,-7-2 0,-1-1 0,1-1 0,1 0 0,5 1 0,2 1 0,-35-4 0,23 5 0,18 4 0,21 2 0,12 1 0,10 0 0,5 0 0,3 0 0,3 0 0,3 2 0,4 5 0,9 11 0,11 15 0,15 18 0,17 16 0,-23-28 0,1 0 0,2 0 0,0-1 0,-2-2 0,-1-2 0,25 22 0,-24-21 0,-14-12 0,-13-10 0,-6-7 0,-1 1 0,-5-3 0,-4-1 0,-4 1 0,-6 0 0,-5 3 0,-6 6 0,-10 11 0,-10 13 0,-3 7 0,-1 8 0,4 0 0,6-3 0,5-4 0,8-11 0,9-10 0,6-7 0,3-6 0,4-3 0,4-3 0,8-3 0,12 0 0,17 4 0,18 4 0,16 7 0,5 1 0,1-1 0,-8-2 0,-12-4 0,-13-4 0,-13-4 0,-9-1 0,-8-2 0,-4 0 0,-3 0 0,-2 0 0,-1 0 0,-1 0 0,-1 0 0,0 0 0,-1 0 0,0 0 0</inkml:trace>
  <inkml:trace contextRef="#ctx0" brushRef="#br0" timeOffset="1500">1253 316 24575,'12'29'0,"14"17"0,16 20 0,11 10 0,2-1 0,0-4 0,2-2 0,0-4 0,-1-2 0,-9-9 0,-13-14 0,-10-11 0,-10-14 0,-6-10 0,-5-8 0,-2 1 0,-1-3 0</inkml:trace>
  <inkml:trace contextRef="#ctx0" brushRef="#br0" timeOffset="2433">1508 181 24575,'0'7'0,"0"3"0,0 1 0,0 2 0,-1 10 0,-7 20 0,-7 27 0,-9 20 0,10-41 0,0 1 0,-11 44 0,2-11 0,4-11 0,0-7 0,1-7 0,2-6 0,2-6 0,1-10 0,3-6 0,0-2 0,1-3 0,1 1 0,0-3 0,2-6 0,1-6 0,2-6 0,0-6 0,-1-2 0,1 1 0,0-1 0</inkml:trace>
  <inkml:trace contextRef="#ctx0" brushRef="#br0" timeOffset="3733">37 1496 24575,'32'0'0,"22"0"0,13 0 0,29 0 0,9 0-495,-23 0 1,4 0-1,-1 0 495,-1 0 0,0 0 0,-4 0 0,16 0 0,-6 0 241,-14 0 1,-6 0-242,-11 0 0,-4 0 122,-4 0 1,-1 0-123,47 0 0,-2 0 0,-1 0 756,-17 0-756,-23 0 0,-21 0 0,-16 0 0,-9 0 0,-3 0 0,-2 0 0,0 0 0,2 1 0,2 0 0,5 0 0,6-1 0,10 0 0,7 0 0,10 0 0,2 0 0,-4 0 0,-9 0 0,-11 0 0,-10 0 0,-5-1 0,-3-2 0,-2-5 0,-2 4 0,0-3 0</inkml:trace>
  <inkml:trace contextRef="#ctx0" brushRef="#br0" timeOffset="5733">883 2083 24575,'0'21'0,"0"10"0,0 20 0,0 10 0,0 2 0,0-3 0,0-10 0,0-10 0,0-10 0,0-11 0,0-8 0,0-5 0,0-6 0,0-6 0,0-9 0,0-8 0,0-7 0,0-6 0,0-3 0,0 0 0,0 2 0,0 2 0,0 1 0,0-1 0,0 0 0,0 3 0,0 6 0,0 7 0,2 8 0,0 6 0,2 3 0,0 2 0,1 2 0,0 2 0,2 2 0,1 4 0,7 4 0,13 8 0,22 13 0,24 14 0,10 5 0,-1 1 0,-16-11 0,-18-13 0,-13-9 0,-11-7 0,-6-4 0,-5-3 0,-3-3 0,-3-2 0,-3-4 0,-2-3 0,-1-6 0,-2-6 0,-1-4 0,-2-3 0,-4-5 0,-3-8 0,-4-13 0,-1-13 0,0-9 0,2-3 0,1 4 0,3 12 0,3 15 0,4 17 0,1 14 0,1 8 0,0 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7:07:26.15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1141 450 24575,'0'25'0,"0"16"0,0 20 0,0 16 0,0 5 0,0-4 0,0-7 0,0-7 0,-1-4 0,-7-2 0,-11 3 0,-10-1 0,-4-4 0,4-8 0,7-15 0,8-14 0,4-17 0,0-16 0,5 3 0,-1-3 0</inkml:trace>
  <inkml:trace contextRef="#ctx0" brushRef="#br0" timeOffset="1949">0 667 24575,'10'0'0,"6"0"0,9 0 0,2 0 0,-4 0 0,-6 3 0,-5 6 0,-3 8 0,-3 7 0,-2 6 0,-7 1 0,-5 2 0,-4-4 0,-3-6 0,0-6 0,2-5 0,-1-4 0,2-2 0,3-5 0,6-4 0,8-4 0,7-3 0,6 1 0,2 3 0,4 2 0,1 3 0,0 0 0,1 2 0,-4 2 0,-5 4 0,-4 4 0,-4 4 0,-4 3 0,-2 0 0,-2-1 0,-5-1 0,-4-1 0,-4-2 0,-4 0 0,0-1 0,1-2 0,2-1 0,0 0 0,0-1 0,1-1 0,2-2 0,0-1 0,0-3 0,0 0 0,-4-1 0,0 0 0,-1 0 0,4 0 0,2 0 0,4-1 0,2-3 0,1 2 0,0-2 0</inkml:trace>
  <inkml:trace contextRef="#ctx0" brushRef="#br0" timeOffset="3165">1186 408 24575,'51'0'0,"6"0"0,12 0 0,3 0 0,8 0 0,5 0-853,-4 0 0,5 0 0,2 0 0,0 0 853,4 0 0,1 0 0,0 0 0,-2 0 0,-2 0 0,-1 0 0,-1 0 0,-3 0 0,15 0 0,-4 0 0,-5 0 356,-18 0 0,-4 0 1,-4 0-357,17 0 0,-7 0 279,-19 0 1,-5 0-280,16 0 0,-22 0 0,-20 0 1784,-12 0-1784,-5 0 0,-4-2 0,-2 2 0,-1-2 0</inkml:trace>
  <inkml:trace contextRef="#ctx0" brushRef="#br0" timeOffset="4082">2121 645 24575,'0'27'0,"0"18"0,0 21 0,0 8 0,0-8 0,0-14 0,0-17 0,0-14 0,0-10 0,0-4 0,0 2 0,0 0 0,0-3 0,0-2 0</inkml:trace>
  <inkml:trace contextRef="#ctx0" brushRef="#br0" timeOffset="5849">2744 579 24575,'-14'0'0,"-10"0"0,-13 0 0,-11 4 0,-6 6 0,0 7 0,7 5 0,9 2 0,11-3 0,9 2 0,6 3 0,2 5 0,2 4 0,3 3 0,3-2 0,1-2 0,4-5 0,7-5 0,9-6 0,9-6 0,10-5 0,8-5 0,11-1 0,2-1 0,-4-2 0,-9-1 0,-9-4 0,-9-3 0,-4-2 0,-4-1 0,-5 0 0,-2 0 0,-3 2 0,-3 0 0,-2-1 0,-3 1 0,-1-1 0,-1 1 0,0 0 0,0 1 0,0 0 0,0 1 0,0 1 0,0-1 0,-1 1 0,-1 0 0,-2 0 0,-1-1 0,0 1 0,-4-1 0,-2-2 0,-5-2 0,-3 0 0,-1 0 0,1 2 0,2 1 0,1 0 0,2 3 0,0 0 0,2 2 0,0 0 0,0 1 0,2 0 0,0 0 0,5 2 0,2 0 0</inkml:trace>
  <inkml:trace contextRef="#ctx0" brushRef="#br0" timeOffset="8749">2229 0 24575,'6'0'0,"0"0"0,-1 0 0,0 1 0,-2 1 0,-3 4 0,-4 3 0,-3 3 0,-4 1 0,-1 0 0,-1 0 0,3-1 0,0-1 0,3-3 0,0-2 0,0-2 0,2-2 0,1 0 0,5-1 0,7 0 0,6-2 0,4-1 0,1-1 0,-1 1 0,0 1 0,1 1 0,0 1 0,-3 3 0,-2 2 0,-2 1 0,-4 2 0,-3 0 0,-1 4 0,-3 3 0,0 3 0,-1 0 0,0-3 0,-3-3 0,-3-2 0,-4-1 0,-2-1 0,-2 0 0,-2-1 0,-1-1 0,-3-3 0,0-2 0,1-1 0,0-1 0,4 0 0,1-1 0,5 0 0,2-3 0,3-3 0,2 3 0,1 0 0</inkml:trace>
  <inkml:trace contextRef="#ctx0" brushRef="#br0" timeOffset="10532">2670 1433 24575,'-1'-4'0,"-7"2"0,-10 0 0,-10 2 0,-3 0 0,4 1 0,6 4 0,10 7 0,5 5 0,4 5 0,3 2 0,4 1 0,7 1 0,7-2 0,7-4 0,3-6 0,0-6 0,-4-5 0,-3-6 0,-5-7 0,-3-6 0,-4-3 0,-3-1 0,-3 1 0,-2 4 0,-2 4 0,1 5 0,0 5 0,-1 8 0,1 7 0,-1 8 0,0 5 0,0 1 0,-3 2 0,-4-1 0,-4 2 0,-3 2 0,-1 1 0,0-2 0,-1-4 0,-1-7 0,-1-5 0,-3-6 0,-1-5 0,-2-2 0,0-3 0,1-1 0,4-2 0,6-4 0,5-4 0,5 5 0,3-1 0</inkml:trace>
  <inkml:trace contextRef="#ctx0" brushRef="#br0" timeOffset="11415">1728 1776 24575,'12'0'0,"7"0"0,5 0 0,1 0 0,-4 0 0,-8 0 0,-3 0 0,0 0 0,5 0 0,5 0 0,4 0 0,-1 0 0,-3 0 0,-6 0 0,-4 0 0,-6 0 0,-1 0 0</inkml:trace>
  <inkml:trace contextRef="#ctx0" brushRef="#br0" timeOffset="12298">2111 2143 24575,'46'0'0,"24"0"0,-19 0 0,3 0 0,4 0 0,0 0 0,-1 0 0,-2 0 0,33 0 0,-31 0 0,-19 0 0,-18 0 0,-9 0 0,-5 0 0,-3 0 0</inkml:trace>
  <inkml:trace contextRef="#ctx0" brushRef="#br0" timeOffset="13115">2573 2386 24575,'0'13'0,"0"3"0,0 5 0,0 3 0,0-1 0,0-2 0,0-4 0,0-3 0,0-2 0,1-4 0,-1-4 0,1-2 0</inkml:trace>
  <inkml:trace contextRef="#ctx0" brushRef="#br0" timeOffset="14032">2038 2660 24575,'56'0'0,"32"0"0,-23 0 0,3 0 0,5 0 0,-1 0 0,-10 0 0,-3 0 0,33 0 0,-39 0 0,-18 0 0,-12 0 0,-5 0 0,3 0 0,3 0 0,5 2 0,4 3 0,2 3 0,-2 1 0,-6-3 0,-7-3 0,-12-2 0,-3-1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06T17:07:46.124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62 19,'59'0,"-1"0,-9 0,-1 0,-5 0,-9 0,-10 0,-10 0,-60 0,13 0,-47 0,33 0,6 1,9 0,8 2,8-1,65-8,-21 5,50-5,-44 6,-4 1,-9 0,-5 0,-63 0,12-2,-47-1,33 0,9 0,10 0,9 0,8 0,2-1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06T17:08:41.958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134 0,'86'0,"0"0,-10 0,-4 0,-14 0,-15 0,-17 1,-13 1,-61 2,11-3,-50 0,28-3,-2 2,3 3,3 6,3 4,6 3,7-1,10-4,12-4,71-25,-2 6,3-2,4 1,29 2,1 5,-6 3,-16 3,-16 1,-20 3,-16 1,-67 2,8-3,-55 0,22 1,-5 3,1 4,6 0,16-2,18-3,17-3,14-3,5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7313-7FD1-4440-A87D-902C40245E77}">
  <dimension ref="A2:F41"/>
  <sheetViews>
    <sheetView topLeftCell="A35" zoomScale="342" workbookViewId="0">
      <selection activeCell="B37" sqref="B37:D42"/>
    </sheetView>
  </sheetViews>
  <sheetFormatPr baseColWidth="10" defaultRowHeight="16" x14ac:dyDescent="0.2"/>
  <sheetData>
    <row r="2" spans="2:3" x14ac:dyDescent="0.2">
      <c r="B2" s="1" t="s">
        <v>0</v>
      </c>
      <c r="C2" s="1"/>
    </row>
    <row r="3" spans="2:3" x14ac:dyDescent="0.2">
      <c r="B3" s="1"/>
      <c r="C3" s="1"/>
    </row>
    <row r="6" spans="2:3" x14ac:dyDescent="0.2">
      <c r="B6" t="s">
        <v>1</v>
      </c>
    </row>
    <row r="8" spans="2:3" x14ac:dyDescent="0.2">
      <c r="C8" t="s">
        <v>2</v>
      </c>
    </row>
    <row r="10" spans="2:3" x14ac:dyDescent="0.2">
      <c r="C10" t="s">
        <v>3</v>
      </c>
    </row>
    <row r="12" spans="2:3" x14ac:dyDescent="0.2">
      <c r="C12" t="s">
        <v>4</v>
      </c>
    </row>
    <row r="18" spans="1:6" x14ac:dyDescent="0.2">
      <c r="A18" s="5"/>
      <c r="B18" s="5"/>
      <c r="C18" s="5"/>
      <c r="D18" s="5"/>
      <c r="E18" s="5"/>
      <c r="F18" s="5"/>
    </row>
    <row r="21" spans="1:6" x14ac:dyDescent="0.2">
      <c r="B21" t="s">
        <v>20</v>
      </c>
    </row>
    <row r="23" spans="1:6" x14ac:dyDescent="0.2">
      <c r="C23" t="s">
        <v>21</v>
      </c>
    </row>
    <row r="25" spans="1:6" x14ac:dyDescent="0.2">
      <c r="B25">
        <f>SUM(central_tendency!B69:B78)</f>
        <v>63</v>
      </c>
      <c r="D25" t="str">
        <f ca="1">_xlfn.FORMULATEXT(B25)</f>
        <v>=SUM(central_tendency!B69:B78)</v>
      </c>
    </row>
    <row r="28" spans="1:6" x14ac:dyDescent="0.2">
      <c r="B28" t="e">
        <f>SUM(2,3,4,7,"HELLO")</f>
        <v>#VALUE!</v>
      </c>
      <c r="D28" t="str">
        <f ca="1">_xlfn.FORMULATEXT(B28)</f>
        <v>=SUM(2,3,4,7,"HELLO")</v>
      </c>
    </row>
    <row r="31" spans="1:6" x14ac:dyDescent="0.2">
      <c r="A31" s="5"/>
      <c r="B31" s="5"/>
      <c r="C31" s="5"/>
      <c r="D31" s="5"/>
      <c r="E31" s="5"/>
      <c r="F31" s="5"/>
    </row>
    <row r="33" spans="2:4" x14ac:dyDescent="0.2">
      <c r="B33" s="3" t="s">
        <v>22</v>
      </c>
      <c r="C33" s="3"/>
    </row>
    <row r="34" spans="2:4" x14ac:dyDescent="0.2">
      <c r="B34" s="3"/>
      <c r="C34" s="3"/>
    </row>
    <row r="37" spans="2:4" x14ac:dyDescent="0.2">
      <c r="B37" t="s">
        <v>23</v>
      </c>
      <c r="D37" t="s">
        <v>26</v>
      </c>
    </row>
    <row r="39" spans="2:4" x14ac:dyDescent="0.2">
      <c r="B39" t="s">
        <v>24</v>
      </c>
      <c r="D39" t="s">
        <v>27</v>
      </c>
    </row>
    <row r="41" spans="2:4" x14ac:dyDescent="0.2">
      <c r="B41" t="s">
        <v>25</v>
      </c>
      <c r="D41" t="s">
        <v>28</v>
      </c>
    </row>
  </sheetData>
  <mergeCells count="2">
    <mergeCell ref="B2:C3"/>
    <mergeCell ref="B33:C3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4DDF8-BEC2-8F43-A620-C5CE94230BDF}">
  <dimension ref="B2:K78"/>
  <sheetViews>
    <sheetView tabSelected="1" topLeftCell="A64" zoomScale="201" workbookViewId="0">
      <selection activeCell="E70" sqref="E70"/>
    </sheetView>
  </sheetViews>
  <sheetFormatPr baseColWidth="10" defaultRowHeight="16" x14ac:dyDescent="0.2"/>
  <sheetData>
    <row r="2" spans="2:6" x14ac:dyDescent="0.2">
      <c r="B2" t="s">
        <v>5</v>
      </c>
    </row>
    <row r="3" spans="2:6" x14ac:dyDescent="0.2">
      <c r="B3" t="s">
        <v>6</v>
      </c>
    </row>
    <row r="6" spans="2:6" x14ac:dyDescent="0.2">
      <c r="B6">
        <v>14</v>
      </c>
    </row>
    <row r="7" spans="2:6" x14ac:dyDescent="0.2">
      <c r="B7">
        <v>22</v>
      </c>
    </row>
    <row r="8" spans="2:6" x14ac:dyDescent="0.2">
      <c r="B8">
        <v>2</v>
      </c>
      <c r="E8">
        <f>SUM(B6:B15)</f>
        <v>129</v>
      </c>
      <c r="F8" t="str">
        <f ca="1">_xlfn.FORMULATEXT(E8)</f>
        <v>=SUM(B6:B15)</v>
      </c>
    </row>
    <row r="9" spans="2:6" x14ac:dyDescent="0.2">
      <c r="B9">
        <v>3</v>
      </c>
    </row>
    <row r="10" spans="2:6" x14ac:dyDescent="0.2">
      <c r="B10">
        <v>2</v>
      </c>
    </row>
    <row r="11" spans="2:6" x14ac:dyDescent="0.2">
      <c r="B11">
        <v>25</v>
      </c>
    </row>
    <row r="12" spans="2:6" x14ac:dyDescent="0.2">
      <c r="B12">
        <v>23</v>
      </c>
    </row>
    <row r="13" spans="2:6" x14ac:dyDescent="0.2">
      <c r="B13">
        <v>27</v>
      </c>
    </row>
    <row r="14" spans="2:6" x14ac:dyDescent="0.2">
      <c r="B14">
        <v>12</v>
      </c>
    </row>
    <row r="15" spans="2:6" x14ac:dyDescent="0.2">
      <c r="B15">
        <v>-1</v>
      </c>
    </row>
    <row r="17" spans="2:8" x14ac:dyDescent="0.2">
      <c r="B17" s="2" t="s">
        <v>2</v>
      </c>
      <c r="C17" s="2"/>
      <c r="F17" t="s">
        <v>13</v>
      </c>
    </row>
    <row r="18" spans="2:8" x14ac:dyDescent="0.2">
      <c r="B18" s="2"/>
      <c r="C18" s="2"/>
    </row>
    <row r="20" spans="2:8" x14ac:dyDescent="0.2">
      <c r="B20" t="s">
        <v>7</v>
      </c>
    </row>
    <row r="22" spans="2:8" x14ac:dyDescent="0.2">
      <c r="B22">
        <f>AVERAGE(B6:B15)</f>
        <v>12.9</v>
      </c>
      <c r="C22" t="str">
        <f ca="1">_xlfn.FORMULATEXT(B22)</f>
        <v>=AVERAGE(B6:B15)</v>
      </c>
    </row>
    <row r="25" spans="2:8" x14ac:dyDescent="0.2">
      <c r="B25" s="3" t="s">
        <v>3</v>
      </c>
      <c r="C25" s="3"/>
      <c r="F25" t="s">
        <v>14</v>
      </c>
      <c r="H25" t="s">
        <v>15</v>
      </c>
    </row>
    <row r="26" spans="2:8" x14ac:dyDescent="0.2">
      <c r="B26" s="3"/>
      <c r="C26" s="3"/>
      <c r="F26" t="s">
        <v>16</v>
      </c>
      <c r="H26" t="s">
        <v>17</v>
      </c>
    </row>
    <row r="29" spans="2:8" x14ac:dyDescent="0.2">
      <c r="B29" t="s">
        <v>8</v>
      </c>
    </row>
    <row r="31" spans="2:8" x14ac:dyDescent="0.2">
      <c r="D31" t="s">
        <v>9</v>
      </c>
      <c r="E31" t="s">
        <v>10</v>
      </c>
    </row>
    <row r="32" spans="2:8" x14ac:dyDescent="0.2">
      <c r="B32">
        <v>14</v>
      </c>
      <c r="D32" cm="1">
        <f t="array" ref="D32:D41">_xlfn._xlws.SORT(B32:B41,,)</f>
        <v>-1</v>
      </c>
      <c r="E32">
        <v>1</v>
      </c>
    </row>
    <row r="33" spans="2:11" x14ac:dyDescent="0.2">
      <c r="B33">
        <v>22</v>
      </c>
      <c r="D33">
        <v>2</v>
      </c>
      <c r="E33">
        <v>2</v>
      </c>
    </row>
    <row r="34" spans="2:11" x14ac:dyDescent="0.2">
      <c r="B34">
        <v>2</v>
      </c>
      <c r="D34">
        <v>2</v>
      </c>
      <c r="E34">
        <v>3</v>
      </c>
    </row>
    <row r="35" spans="2:11" x14ac:dyDescent="0.2">
      <c r="B35">
        <v>3</v>
      </c>
      <c r="D35">
        <v>3</v>
      </c>
      <c r="E35">
        <v>4</v>
      </c>
    </row>
    <row r="36" spans="2:11" x14ac:dyDescent="0.2">
      <c r="B36">
        <v>2</v>
      </c>
      <c r="D36">
        <v>12</v>
      </c>
      <c r="E36">
        <v>5</v>
      </c>
      <c r="F36">
        <f>SUM(D36:D37)/2</f>
        <v>13</v>
      </c>
      <c r="G36" t="str">
        <f ca="1">_xlfn.FORMULATEXT(F36)</f>
        <v>=SUM(D36:D37)/2</v>
      </c>
    </row>
    <row r="37" spans="2:11" x14ac:dyDescent="0.2">
      <c r="B37">
        <v>25</v>
      </c>
      <c r="D37">
        <v>14</v>
      </c>
      <c r="E37">
        <v>6</v>
      </c>
      <c r="F37">
        <f>AVERAGE(D36:D37)</f>
        <v>13</v>
      </c>
      <c r="G37" t="str">
        <f t="shared" ref="G37:G38" ca="1" si="0">_xlfn.FORMULATEXT(F37)</f>
        <v>=AVERAGE(D36:D37)</v>
      </c>
    </row>
    <row r="38" spans="2:11" x14ac:dyDescent="0.2">
      <c r="B38">
        <v>23</v>
      </c>
      <c r="D38">
        <v>22</v>
      </c>
      <c r="E38">
        <v>7</v>
      </c>
      <c r="F38">
        <f>MEDIAN(B32:B41)</f>
        <v>13</v>
      </c>
      <c r="G38" t="str">
        <f t="shared" ca="1" si="0"/>
        <v>=MEDIAN(B32:B41)</v>
      </c>
    </row>
    <row r="39" spans="2:11" x14ac:dyDescent="0.2">
      <c r="B39">
        <v>27</v>
      </c>
      <c r="D39">
        <v>23</v>
      </c>
      <c r="E39">
        <v>8</v>
      </c>
    </row>
    <row r="40" spans="2:11" x14ac:dyDescent="0.2">
      <c r="B40">
        <v>12</v>
      </c>
      <c r="D40">
        <v>25</v>
      </c>
      <c r="E40">
        <v>9</v>
      </c>
    </row>
    <row r="41" spans="2:11" x14ac:dyDescent="0.2">
      <c r="B41">
        <v>-1</v>
      </c>
      <c r="D41">
        <v>27</v>
      </c>
      <c r="E41">
        <v>10</v>
      </c>
    </row>
    <row r="44" spans="2:11" x14ac:dyDescent="0.2">
      <c r="D44" t="s">
        <v>12</v>
      </c>
      <c r="E44" t="s">
        <v>11</v>
      </c>
    </row>
    <row r="45" spans="2:11" x14ac:dyDescent="0.2">
      <c r="B45">
        <v>-22</v>
      </c>
      <c r="D45" cm="1">
        <f t="array" ref="D45:D57">_xlfn._xlws.SORT(B45:B57)</f>
        <v>-22</v>
      </c>
      <c r="E45">
        <v>1</v>
      </c>
      <c r="J45" s="7"/>
      <c r="K45" s="7"/>
    </row>
    <row r="46" spans="2:11" x14ac:dyDescent="0.2">
      <c r="B46">
        <v>28</v>
      </c>
      <c r="D46">
        <v>-13</v>
      </c>
      <c r="E46">
        <v>2</v>
      </c>
    </row>
    <row r="47" spans="2:11" x14ac:dyDescent="0.2">
      <c r="B47">
        <v>-3</v>
      </c>
      <c r="D47">
        <v>-13</v>
      </c>
      <c r="E47">
        <v>3</v>
      </c>
    </row>
    <row r="48" spans="2:11" x14ac:dyDescent="0.2">
      <c r="B48">
        <v>-13</v>
      </c>
      <c r="D48">
        <v>-7</v>
      </c>
      <c r="E48">
        <v>4</v>
      </c>
      <c r="G48">
        <f>MEDIAN(B45:B57)</f>
        <v>20</v>
      </c>
      <c r="H48" t="str">
        <f t="shared" ref="H48" ca="1" si="1">_xlfn.FORMULATEXT(G48)</f>
        <v>=MEDIAN(B45:B57)</v>
      </c>
    </row>
    <row r="49" spans="2:5" x14ac:dyDescent="0.2">
      <c r="B49">
        <v>38</v>
      </c>
      <c r="D49">
        <v>-3</v>
      </c>
      <c r="E49">
        <v>5</v>
      </c>
    </row>
    <row r="50" spans="2:5" x14ac:dyDescent="0.2">
      <c r="B50">
        <v>-13</v>
      </c>
      <c r="D50">
        <v>4</v>
      </c>
      <c r="E50">
        <v>6</v>
      </c>
    </row>
    <row r="51" spans="2:5" x14ac:dyDescent="0.2">
      <c r="B51">
        <v>44</v>
      </c>
      <c r="D51">
        <v>20</v>
      </c>
      <c r="E51">
        <v>7</v>
      </c>
    </row>
    <row r="52" spans="2:5" x14ac:dyDescent="0.2">
      <c r="B52">
        <v>23</v>
      </c>
      <c r="D52">
        <v>23</v>
      </c>
      <c r="E52">
        <v>8</v>
      </c>
    </row>
    <row r="53" spans="2:5" x14ac:dyDescent="0.2">
      <c r="B53">
        <v>43</v>
      </c>
      <c r="D53">
        <v>28</v>
      </c>
      <c r="E53">
        <v>9</v>
      </c>
    </row>
    <row r="54" spans="2:5" x14ac:dyDescent="0.2">
      <c r="B54">
        <v>-7</v>
      </c>
      <c r="D54">
        <v>38</v>
      </c>
      <c r="E54">
        <v>10</v>
      </c>
    </row>
    <row r="55" spans="2:5" x14ac:dyDescent="0.2">
      <c r="B55">
        <v>48</v>
      </c>
      <c r="D55">
        <v>43</v>
      </c>
      <c r="E55">
        <v>11</v>
      </c>
    </row>
    <row r="56" spans="2:5" x14ac:dyDescent="0.2">
      <c r="B56">
        <v>20</v>
      </c>
      <c r="D56">
        <v>44</v>
      </c>
      <c r="E56">
        <v>12</v>
      </c>
    </row>
    <row r="57" spans="2:5" x14ac:dyDescent="0.2">
      <c r="B57">
        <v>4</v>
      </c>
      <c r="D57">
        <v>48</v>
      </c>
      <c r="E57">
        <v>13</v>
      </c>
    </row>
    <row r="61" spans="2:5" x14ac:dyDescent="0.2">
      <c r="B61" s="2" t="s">
        <v>4</v>
      </c>
      <c r="C61" s="2"/>
      <c r="D61" s="4"/>
      <c r="E61" s="4"/>
    </row>
    <row r="62" spans="2:5" x14ac:dyDescent="0.2">
      <c r="B62" s="2"/>
      <c r="C62" s="2"/>
      <c r="D62" s="4"/>
      <c r="E62" s="4"/>
    </row>
    <row r="64" spans="2:5" x14ac:dyDescent="0.2">
      <c r="B64" t="s">
        <v>18</v>
      </c>
    </row>
    <row r="66" spans="2:6" x14ac:dyDescent="0.2">
      <c r="B66" t="s">
        <v>19</v>
      </c>
    </row>
    <row r="69" spans="2:6" x14ac:dyDescent="0.2">
      <c r="B69">
        <v>14</v>
      </c>
      <c r="D69">
        <f>_xlfn.MODE.SNGL(B69:B78)</f>
        <v>2</v>
      </c>
      <c r="E69" t="str">
        <f ca="1">_xlfn.FORMULATEXT(D69)</f>
        <v>=MODE.SNGL(B69:B78)</v>
      </c>
    </row>
    <row r="70" spans="2:6" x14ac:dyDescent="0.2">
      <c r="B70">
        <v>2</v>
      </c>
    </row>
    <row r="71" spans="2:6" x14ac:dyDescent="0.2">
      <c r="B71">
        <v>2</v>
      </c>
    </row>
    <row r="72" spans="2:6" x14ac:dyDescent="0.2">
      <c r="B72">
        <v>3</v>
      </c>
    </row>
    <row r="73" spans="2:6" x14ac:dyDescent="0.2">
      <c r="B73">
        <v>2</v>
      </c>
    </row>
    <row r="74" spans="2:6" x14ac:dyDescent="0.2">
      <c r="B74">
        <v>3</v>
      </c>
      <c r="D74" t="s">
        <v>37</v>
      </c>
      <c r="F74" t="s">
        <v>38</v>
      </c>
    </row>
    <row r="75" spans="2:6" x14ac:dyDescent="0.2">
      <c r="B75">
        <v>23</v>
      </c>
    </row>
    <row r="76" spans="2:6" x14ac:dyDescent="0.2">
      <c r="B76">
        <v>3</v>
      </c>
      <c r="D76" t="s">
        <v>39</v>
      </c>
      <c r="F76" t="s">
        <v>40</v>
      </c>
    </row>
    <row r="77" spans="2:6" x14ac:dyDescent="0.2">
      <c r="B77">
        <v>12</v>
      </c>
    </row>
    <row r="78" spans="2:6" x14ac:dyDescent="0.2">
      <c r="B78">
        <v>-1</v>
      </c>
    </row>
  </sheetData>
  <mergeCells count="3">
    <mergeCell ref="B17:C18"/>
    <mergeCell ref="B25:C26"/>
    <mergeCell ref="B61:C6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02870-7186-6447-8545-629E0D93831F}">
  <dimension ref="B3:E12"/>
  <sheetViews>
    <sheetView zoomScale="190" workbookViewId="0">
      <selection activeCell="E9" sqref="E9"/>
    </sheetView>
  </sheetViews>
  <sheetFormatPr baseColWidth="10" defaultRowHeight="16" x14ac:dyDescent="0.2"/>
  <sheetData>
    <row r="3" spans="2:5" x14ac:dyDescent="0.2">
      <c r="B3" s="6">
        <v>14</v>
      </c>
      <c r="D3">
        <f>COUNT(B3:B12)</f>
        <v>6</v>
      </c>
      <c r="E3" t="str">
        <f ca="1">_xlfn.FORMULATEXT(D3)</f>
        <v>=COUNT(B3:B12)</v>
      </c>
    </row>
    <row r="4" spans="2:5" x14ac:dyDescent="0.2">
      <c r="B4" s="6"/>
      <c r="D4">
        <f>COUNTA(B3:B12)</f>
        <v>8</v>
      </c>
      <c r="E4" t="str">
        <f ca="1">_xlfn.FORMULATEXT(D4)</f>
        <v>=COUNTA(B3:B12)</v>
      </c>
    </row>
    <row r="5" spans="2:5" x14ac:dyDescent="0.2">
      <c r="B5" s="6">
        <v>2</v>
      </c>
      <c r="D5">
        <f>COUNTBLANK(B3:B12)</f>
        <v>2</v>
      </c>
      <c r="E5" t="str">
        <f ca="1">_xlfn.FORMULATEXT(D5)</f>
        <v>=COUNTBLANK(B3:B12)</v>
      </c>
    </row>
    <row r="6" spans="2:5" x14ac:dyDescent="0.2">
      <c r="B6" s="6"/>
    </row>
    <row r="7" spans="2:5" x14ac:dyDescent="0.2">
      <c r="B7" s="6">
        <v>2</v>
      </c>
    </row>
    <row r="8" spans="2:5" x14ac:dyDescent="0.2">
      <c r="B8" s="6" t="s">
        <v>29</v>
      </c>
    </row>
    <row r="9" spans="2:5" x14ac:dyDescent="0.2">
      <c r="B9" s="6">
        <v>23</v>
      </c>
    </row>
    <row r="10" spans="2:5" x14ac:dyDescent="0.2">
      <c r="B10" s="6" t="s">
        <v>30</v>
      </c>
    </row>
    <row r="11" spans="2:5" x14ac:dyDescent="0.2">
      <c r="B11" s="6">
        <v>12</v>
      </c>
    </row>
    <row r="12" spans="2:5" x14ac:dyDescent="0.2">
      <c r="B12" s="6">
        <v>-1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7CBD9-6635-5B43-9875-9512F8502FA9}">
  <dimension ref="A3:F43"/>
  <sheetViews>
    <sheetView topLeftCell="A32" zoomScale="229" workbookViewId="0">
      <selection activeCell="E38" sqref="E38"/>
    </sheetView>
  </sheetViews>
  <sheetFormatPr baseColWidth="10" defaultRowHeight="16" x14ac:dyDescent="0.2"/>
  <sheetData>
    <row r="3" spans="1:6" x14ac:dyDescent="0.2">
      <c r="B3" t="s">
        <v>31</v>
      </c>
    </row>
    <row r="6" spans="1:6" x14ac:dyDescent="0.2">
      <c r="B6" t="s">
        <v>32</v>
      </c>
    </row>
    <row r="7" spans="1:6" x14ac:dyDescent="0.2">
      <c r="C7">
        <f>MOD(11,6)</f>
        <v>5</v>
      </c>
      <c r="D7" t="str">
        <f ca="1">_xlfn.FORMULATEXT(C7)</f>
        <v>=MOD(11,6)</v>
      </c>
    </row>
    <row r="9" spans="1:6" x14ac:dyDescent="0.2">
      <c r="C9">
        <f>QUOTIENT(11,6)</f>
        <v>1</v>
      </c>
      <c r="D9" t="str">
        <f ca="1">_xlfn.FORMULATEXT(C9)</f>
        <v>=QUOTIENT(11,6)</v>
      </c>
    </row>
    <row r="12" spans="1:6" x14ac:dyDescent="0.2">
      <c r="A12" s="5"/>
      <c r="B12" s="5"/>
      <c r="C12" s="5"/>
      <c r="D12" s="5"/>
      <c r="E12" s="5"/>
      <c r="F12" s="5"/>
    </row>
    <row r="14" spans="1:6" x14ac:dyDescent="0.2">
      <c r="B14" s="8" t="s">
        <v>33</v>
      </c>
      <c r="C14" s="8"/>
    </row>
    <row r="15" spans="1:6" x14ac:dyDescent="0.2">
      <c r="B15" s="8"/>
      <c r="C15" s="8"/>
    </row>
    <row r="19" spans="2:6" x14ac:dyDescent="0.2">
      <c r="B19" t="s">
        <v>34</v>
      </c>
      <c r="C19">
        <v>1</v>
      </c>
    </row>
    <row r="20" spans="2:6" x14ac:dyDescent="0.2">
      <c r="B20" t="s">
        <v>35</v>
      </c>
      <c r="C20">
        <v>2</v>
      </c>
      <c r="D20" t="str" cm="1">
        <f t="array" ref="D20:D22">_xlfn.UNIQUE(B19:B27)</f>
        <v>Apple</v>
      </c>
      <c r="F20" t="str">
        <f ca="1">_xlfn.FORMULATEXT(D20)</f>
        <v>=UNIQUE(B19:B27)</v>
      </c>
    </row>
    <row r="21" spans="2:6" x14ac:dyDescent="0.2">
      <c r="B21" t="s">
        <v>36</v>
      </c>
      <c r="C21">
        <v>2</v>
      </c>
      <c r="D21" t="str">
        <v>Mango</v>
      </c>
    </row>
    <row r="22" spans="2:6" x14ac:dyDescent="0.2">
      <c r="B22" t="s">
        <v>34</v>
      </c>
      <c r="C22">
        <v>3</v>
      </c>
      <c r="D22" t="str">
        <v>Banana</v>
      </c>
    </row>
    <row r="23" spans="2:6" x14ac:dyDescent="0.2">
      <c r="B23" t="s">
        <v>34</v>
      </c>
      <c r="C23">
        <v>1</v>
      </c>
    </row>
    <row r="24" spans="2:6" x14ac:dyDescent="0.2">
      <c r="B24" t="s">
        <v>34</v>
      </c>
      <c r="C24">
        <v>1</v>
      </c>
      <c r="D24" cm="1">
        <f t="array" ref="D24:D26">_xlfn.UNIQUE(C19:C26)</f>
        <v>1</v>
      </c>
      <c r="F24" t="str">
        <f ca="1">_xlfn.FORMULATEXT(D24)</f>
        <v>=UNIQUE(C19:C26)</v>
      </c>
    </row>
    <row r="25" spans="2:6" x14ac:dyDescent="0.2">
      <c r="B25" t="s">
        <v>35</v>
      </c>
      <c r="C25">
        <v>1</v>
      </c>
      <c r="D25">
        <v>2</v>
      </c>
    </row>
    <row r="26" spans="2:6" x14ac:dyDescent="0.2">
      <c r="B26" t="s">
        <v>35</v>
      </c>
      <c r="C26">
        <v>1</v>
      </c>
      <c r="D26">
        <v>3</v>
      </c>
    </row>
    <row r="27" spans="2:6" x14ac:dyDescent="0.2">
      <c r="B27" t="s">
        <v>36</v>
      </c>
    </row>
    <row r="35" spans="3:5" x14ac:dyDescent="0.2">
      <c r="C35" t="s">
        <v>34</v>
      </c>
      <c r="E35">
        <f>COUNTA(_xlfn.UNIQUE(C35:C43))</f>
        <v>3</v>
      </c>
    </row>
    <row r="36" spans="3:5" x14ac:dyDescent="0.2">
      <c r="C36" t="s">
        <v>35</v>
      </c>
    </row>
    <row r="37" spans="3:5" x14ac:dyDescent="0.2">
      <c r="C37" t="s">
        <v>36</v>
      </c>
      <c r="E37" t="str">
        <f ca="1">_xlfn.FORMULATEXT(E35)</f>
        <v>=COUNTA(UNIQUE(C35:C43))</v>
      </c>
    </row>
    <row r="38" spans="3:5" x14ac:dyDescent="0.2">
      <c r="C38" t="s">
        <v>34</v>
      </c>
    </row>
    <row r="39" spans="3:5" x14ac:dyDescent="0.2">
      <c r="C39" t="s">
        <v>34</v>
      </c>
    </row>
    <row r="40" spans="3:5" x14ac:dyDescent="0.2">
      <c r="C40" t="s">
        <v>34</v>
      </c>
    </row>
    <row r="41" spans="3:5" x14ac:dyDescent="0.2">
      <c r="C41" t="s">
        <v>35</v>
      </c>
    </row>
    <row r="42" spans="3:5" x14ac:dyDescent="0.2">
      <c r="C42" t="s">
        <v>35</v>
      </c>
    </row>
    <row r="43" spans="3:5" x14ac:dyDescent="0.2">
      <c r="C43" t="s">
        <v>36</v>
      </c>
    </row>
  </sheetData>
  <mergeCells count="1">
    <mergeCell ref="B14:C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central_tendency</vt:lpstr>
      <vt:lpstr>COUNTING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2026-08-06T15:35:15Z</dcterms:created>
  <dcterms:modified xsi:type="dcterms:W3CDTF">2026-08-06T17:24:03Z</dcterms:modified>
</cp:coreProperties>
</file>