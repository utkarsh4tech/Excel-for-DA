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C182AA12-30A9-2742-8480-6DD0A854978F}" xr6:coauthVersionLast="47" xr6:coauthVersionMax="47" xr10:uidLastSave="{00000000-0000-0000-0000-000000000000}"/>
  <bookViews>
    <workbookView xWindow="0" yWindow="600" windowWidth="38400" windowHeight="21000" activeTab="1" xr2:uid="{6E25EE2F-0448-E141-96B6-C519C3364CC1}"/>
  </bookViews>
  <sheets>
    <sheet name="agenda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4" i="2" l="1"/>
  <c r="E144" i="2"/>
  <c r="G142" i="2"/>
  <c r="E142" i="2"/>
  <c r="F135" i="2"/>
  <c r="H119" i="2"/>
  <c r="I119" i="2"/>
  <c r="I117" i="2"/>
  <c r="H117" i="2"/>
  <c r="F116" i="2" a="1"/>
  <c r="G104" i="2"/>
  <c r="F104" i="2"/>
  <c r="F101" i="2"/>
  <c r="G101" i="2"/>
  <c r="H84" i="2"/>
  <c r="G84" i="2"/>
  <c r="G81" i="2"/>
  <c r="H81" i="2"/>
  <c r="H78" i="2"/>
  <c r="G78" i="2"/>
  <c r="H75" i="2"/>
  <c r="G75" i="2"/>
  <c r="D63" i="2"/>
  <c r="E62" i="2"/>
  <c r="E63" i="2"/>
  <c r="D62" i="2"/>
  <c r="E61" i="2"/>
  <c r="D61" i="2"/>
  <c r="F49" i="2"/>
  <c r="G49" i="2"/>
  <c r="G39" i="2"/>
  <c r="F39" i="2"/>
  <c r="G19" i="2"/>
  <c r="F19" i="2"/>
  <c r="G10" i="2"/>
  <c r="F10" i="2"/>
  <c r="F14" i="2"/>
  <c r="F13" i="2"/>
  <c r="F12" i="2"/>
  <c r="G11" i="2"/>
  <c r="G12" i="2"/>
  <c r="G13" i="2"/>
  <c r="G14" i="2"/>
  <c r="F11" i="2"/>
  <c r="F116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<sst xmlns="http://schemas.openxmlformats.org/spreadsheetml/2006/main" count="112" uniqueCount="96">
  <si>
    <t>Agenda</t>
  </si>
  <si>
    <t>Arithmetics ( + - * / ^)</t>
  </si>
  <si>
    <t>SUM</t>
  </si>
  <si>
    <t>COUNT ing</t>
  </si>
  <si>
    <t>MOD QUOTIENT</t>
  </si>
  <si>
    <t>UNIQUE</t>
  </si>
  <si>
    <t>ARITHMETICs</t>
  </si>
  <si>
    <t>+</t>
  </si>
  <si>
    <t>-</t>
  </si>
  <si>
    <t>*</t>
  </si>
  <si>
    <t>/</t>
  </si>
  <si>
    <t>^</t>
  </si>
  <si>
    <t>addition</t>
  </si>
  <si>
    <t>Substraction</t>
  </si>
  <si>
    <t>multiplication</t>
  </si>
  <si>
    <t>division</t>
  </si>
  <si>
    <t>power</t>
  </si>
  <si>
    <t>BODMAS</t>
  </si>
  <si>
    <t>BRACKET</t>
  </si>
  <si>
    <t>of</t>
  </si>
  <si>
    <t>Div</t>
  </si>
  <si>
    <t>Mul</t>
  </si>
  <si>
    <t>Add</t>
  </si>
  <si>
    <t>Sub</t>
  </si>
  <si>
    <t>(),{},[]</t>
  </si>
  <si>
    <t>6^10*7</t>
  </si>
  <si>
    <t>(6^2)+(8*7)</t>
  </si>
  <si>
    <t>Wrong</t>
  </si>
  <si>
    <t>Right</t>
  </si>
  <si>
    <t>when + is done on 2 or more operands, it is called sum</t>
  </si>
  <si>
    <t>Marks of Students</t>
  </si>
  <si>
    <t>WHAT IS SUM of Marks of students</t>
  </si>
  <si>
    <t>SUM(34,100,64….)</t>
  </si>
  <si>
    <t>SUM(c36,c37,…)</t>
  </si>
  <si>
    <t>Worse</t>
  </si>
  <si>
    <t>bad</t>
  </si>
  <si>
    <t>SUM(C36:C55)</t>
  </si>
  <si>
    <t>Best</t>
  </si>
  <si>
    <t>abc</t>
  </si>
  <si>
    <t>COUNTING??</t>
  </si>
  <si>
    <t>COUNT</t>
  </si>
  <si>
    <t>COUNTA</t>
  </si>
  <si>
    <t>COUNTIF</t>
  </si>
  <si>
    <t>COUNTBLANK</t>
  </si>
  <si>
    <t>COUNTIFS</t>
  </si>
  <si>
    <t>Counts the number of cells in a range that contain numbers.</t>
  </si>
  <si>
    <t>Counts the number of cells in a range that are not empty.</t>
  </si>
  <si>
    <t>Counts the number of empty cells in a specified range of cells.</t>
  </si>
  <si>
    <t>Counts the number of cells within a range that meet the given condition.</t>
  </si>
  <si>
    <t>Counts the number of cells specified by a given set of conditions or criteria.</t>
  </si>
  <si>
    <t>COUNTIF &amp; COUNTIFS</t>
  </si>
  <si>
    <t>STATE</t>
  </si>
  <si>
    <t>Salary</t>
  </si>
  <si>
    <t>AGE</t>
  </si>
  <si>
    <t>MH</t>
  </si>
  <si>
    <t>UP</t>
  </si>
  <si>
    <t>BH</t>
  </si>
  <si>
    <t>PU</t>
  </si>
  <si>
    <t>TN</t>
  </si>
  <si>
    <t>How many people are &lt;18</t>
  </si>
  <si>
    <t>How many people earn leas than 50K (&lt;=)</t>
  </si>
  <si>
    <t>How many people are from Maharashtra</t>
  </si>
  <si>
    <t>Count people from MH with salary &gt;= 10K</t>
  </si>
  <si>
    <t>RANGE ( WHAT is to be counted)</t>
  </si>
  <si>
    <t>CRITERIA ( The condition which is to be fulfilled)</t>
  </si>
  <si>
    <t>COND_RANGE_1</t>
  </si>
  <si>
    <t>COND_1</t>
  </si>
  <si>
    <t>Where COND1 is to be checked</t>
  </si>
  <si>
    <t>CONDition1 which we need to check</t>
  </si>
  <si>
    <t>COND_RANGE_2</t>
  </si>
  <si>
    <t>COND_2</t>
  </si>
  <si>
    <t>(optional)</t>
  </si>
  <si>
    <t>MOD</t>
  </si>
  <si>
    <t>10÷3</t>
  </si>
  <si>
    <t>remainder</t>
  </si>
  <si>
    <t>Quotient</t>
  </si>
  <si>
    <t>Complete number of division</t>
  </si>
  <si>
    <t>whatever is left after dividing</t>
  </si>
  <si>
    <t>MODULO</t>
  </si>
  <si>
    <t>is an operator (just like + - etc..) which gives remainder as o/p</t>
  </si>
  <si>
    <t>10 mod 3</t>
  </si>
  <si>
    <t>10%3</t>
  </si>
  <si>
    <t>Marks</t>
  </si>
  <si>
    <t>Values that don’t repeat multiple times</t>
  </si>
  <si>
    <t>SUMIF</t>
  </si>
  <si>
    <t>SUM only when the condition is true ( =1 )</t>
  </si>
  <si>
    <t>SUMIFS</t>
  </si>
  <si>
    <t>SUM only when ALL conditions are true ( &gt;=1 )</t>
  </si>
  <si>
    <t>AVERAGE</t>
  </si>
  <si>
    <t>Find the arithmetic AVG, of the given num</t>
  </si>
  <si>
    <t>AVERAGEIF</t>
  </si>
  <si>
    <t>AVERAGE only when the condition is true ( =1 )</t>
  </si>
  <si>
    <t>AVERAGEIFS</t>
  </si>
  <si>
    <t>AVERAGE only when ALL conditions are true ( &gt;=1 )</t>
  </si>
  <si>
    <t>CENTRAL</t>
  </si>
  <si>
    <t>Average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</si>
</sst>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22"/>
      <color theme="1"/>
      <name val="Aptos Narrow (Body)"/>
    </font>
    <font>
      <sz val="12"/>
      <color theme="1"/>
      <name val="Helvetica"/>
      <family val="2"/>
    </font>
    <font>
      <sz val="11"/>
      <color rgb="FFFF0000"/>
      <name val="Helvetica Neue"/>
      <family val="2"/>
    </font>
    <font>
      <sz val="12"/>
      <color rgb="FF000000"/>
      <name val="Aptos Narrow"/>
      <family val="2"/>
      <scheme val="minor"/>
    </font>
    <font>
      <sz val="24"/>
      <color theme="1"/>
      <name val="Aptos Narrow (Body)"/>
    </font>
    <font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5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5" fillId="4" borderId="1" xfId="0" applyFont="1" applyFill="1" applyBorder="1"/>
    <xf numFmtId="0" fontId="5" fillId="5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335369</xdr:colOff>
      <xdr:row>27</xdr:row>
      <xdr:rowOff>115454</xdr:rowOff>
    </xdr:from>
    <xdr:to>
      <xdr:col>11</xdr:col>
      <xdr:colOff>452967</xdr:colOff>
      <xdr:row>34</xdr:row>
      <xdr:rowOff>37715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9D75690-39B2-1989-A57E-D7B7F9761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08096" y="5607792"/>
          <a:ext cx="3416300" cy="1346200"/>
        </a:xfrm>
        <a:prstGeom prst="rect">
          <a:avLst/>
        </a:prstGeom>
      </xdr:spPr>
    </xdr:pic>
    <xdr:clientData/>
  </xdr:twoCellAnchor>
  <xdr:twoCellAnchor editAs="oneCell">
    <xdr:from>
      <xdr:col>7</xdr:col>
      <xdr:colOff>784757</xdr:colOff>
      <xdr:row>83</xdr:row>
      <xdr:rowOff>201601</xdr:rowOff>
    </xdr:from>
    <xdr:to>
      <xdr:col>8</xdr:col>
      <xdr:colOff>765465</xdr:colOff>
      <xdr:row>84</xdr:row>
      <xdr:rowOff>31382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88CBC490-41A8-59AE-A7A1-9E691502CB8B}"/>
                </a:ext>
              </a:extLst>
            </xdr14:cNvPr>
            <xdr14:cNvContentPartPr/>
          </xdr14:nvContentPartPr>
          <xdr14:nvPr macro=""/>
          <xdr14:xfrm>
            <a:off x="6579720" y="16989120"/>
            <a:ext cx="808560" cy="3204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88CBC490-41A8-59AE-A7A1-9E691502CB8B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6573600" y="16983000"/>
              <a:ext cx="820800" cy="4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104653</xdr:colOff>
      <xdr:row>83</xdr:row>
      <xdr:rowOff>188281</xdr:rowOff>
    </xdr:from>
    <xdr:to>
      <xdr:col>10</xdr:col>
      <xdr:colOff>339521</xdr:colOff>
      <xdr:row>84</xdr:row>
      <xdr:rowOff>66302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5AF9E201-B164-F9EA-25C7-FE8FBBFF7D3B}"/>
                </a:ext>
              </a:extLst>
            </xdr14:cNvPr>
            <xdr14:cNvContentPartPr/>
          </xdr14:nvContentPartPr>
          <xdr14:nvPr macro=""/>
          <xdr14:xfrm>
            <a:off x="7555320" y="16975800"/>
            <a:ext cx="1062720" cy="80280"/>
          </xdr14:xfrm>
        </xdr:contentPart>
      </mc:Choice>
      <mc:Fallback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5AF9E201-B164-F9EA-25C7-FE8FBBFF7D3B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7546320" y="16967121"/>
              <a:ext cx="1080360" cy="97999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4T16:46:32.92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45 24575,'6'0'0,"0"0"0,0 0 0,0 0 0,-1 0 0,1 0 0,0 0 0,8 0 0,-1 0 0,18 3 0,0-1 0,16 4 0,10 6 0,6-7 0,14 4 0,-4-9 0,12 0 0,-19 0 0,-9 0 0,-3 0 0,-19 0 0,8 0 0,-9 0 0,-11 0 0,-3 0 0,-1 0 0,-6 0 0,1 0 0,-3 0 0,-2 0 0,-2 0 0,-1 0 0,0 0 0,0 0 0,0 0 0,-1 1 0,-1 1 0,0-1 0,1 1 0,1-2 0,0 0 0,0 0 0,0 0 0,0 0 0,0 0 0,1 0 0,-1 0 0,2 0 0,-2 0 0,5 0 0,-4 0 0,4 0 0,-5 0 0,0 0 0,0-2 0,0 2 0,0-3 0,0 2 0,3-3 0,0 1 0,0 1 0,6-2 0,-5 1 0,8-3 0,-8 4 0,1-1 0,-5 3 0,0-1 0,0-1 0,2-1 0,4 1 0,11-4 0,-7 3 0,16-6 0,-5 4 0,3-1 0,0 0 0,-11 2 0,-4 1 0,-3 0 0,-6 2 0,-3 0 0</inkml:trace>
  <inkml:trace contextRef="#ctx0" brushRef="#br0" timeOffset="1361">1829 55 24575,'-1'-4'0,"1"3"0,5-1 0,6 0 0,6 1 0,-2-3 0,2 2 0,-5 1 0,0-1 0,0 2 0,-3 0 0,8 0 0,-4 0 0,4 0 0,7 0 0,0 0 0,5 0 0,-6 0 0,-6 0 0,-5 0 0,-3 0 0,3 0 0,-6 0 0,1 0 0,-1 0 0,-3 0 0,2 0 0,-1 0 0,1 0 0,-1 0 0,2 0 0,-3 0 0,1 0 0,1 0 0,-1 0 0,2 0 0,0 0 0,0 0 0,0 0 0,0 0 0,0 0 0,0 0 0,-3 0 0,0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4T16:46:37.676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20 24575,'9'0'0,"5"2"0,8 1 0,7 5 0,12 1 0,21 11 0,3-2 0,21 3 0,-8-1 0,-1-6 0,-1 2 0,-22-3 0,-9-4 0,8-3 0,-20-2 0,12-2 0,-24 0 0,-13-1 0,0-1 0,-2 0 0,-1 0 0,1 0 0,1 0 0,-2 2 0,5 2 0,-4-2 0,6 2 0,-1-4 0,4 0 0,-2 0 0,1 0 0,-2 0 0,0 0 0,0 0 0,0 0 0,0 0 0,0 0 0,-6 3 0,-3 3 0,-3 0 0,0 0 0,1-5 0,4-1 0,-1-2 0,2 0 0,0 0 0,0-3 0,3 2 0,0 0 0,-1 2 0,0-1 0,9-4 0,-8 2 0,9-5 0,-13 6 0,1 1 0,0-1 0,0-2 0,0-1 0,-2 2 0,-2 2 0</inkml:trace>
  <inkml:trace contextRef="#ctx0" brushRef="#br0" timeOffset="1404">1733 25 24575,'8'0'0,"2"0"0,4 0 0,8 0 0,22 0 0,-12 0 0,49 0 0,-24 0 0,39 0 0,-14 0 0,-29 0 0,-1 0 0,30 0 0,8 0 0,-28 0 0,-10 0 0,-16 0 0,-7 0 0,-15 0 0,-2 0 0,-4-1 0,-2-1 0,0-1 0,0 0 0,0 1 0,3 1 0,-4 0 0,3-1 0,0 0 0,-2 1 0,3 1 0,-2 0 0,-1 0 0,2 0 0,-2 0 0,0 0 0,0-1 0,0-1 0,0 0 0,0 1 0,0 1 0,2 0 0,1 0 0,1 0 0,-2 0 0,-2 0 0,3 0 0,-1 0 0,3 0 0,2 0 0,3 0 0,1 0 0,-2 0 0,-3 0 0,-6 0 0,-3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3C80E-01BB-8343-B200-DF88FF3EB3A9}">
  <dimension ref="A3:G46"/>
  <sheetViews>
    <sheetView topLeftCell="A28" zoomScale="216" zoomScaleNormal="216" workbookViewId="0">
      <selection activeCell="B44" sqref="B44:C48"/>
    </sheetView>
  </sheetViews>
  <sheetFormatPr baseColWidth="10" defaultRowHeight="16" x14ac:dyDescent="0.2"/>
  <sheetData>
    <row r="3" spans="2:4" x14ac:dyDescent="0.2">
      <c r="B3" t="s">
        <v>0</v>
      </c>
    </row>
    <row r="5" spans="2:4" x14ac:dyDescent="0.2">
      <c r="B5" t="s">
        <v>1</v>
      </c>
    </row>
    <row r="7" spans="2:4" x14ac:dyDescent="0.2">
      <c r="B7" t="s">
        <v>2</v>
      </c>
    </row>
    <row r="9" spans="2:4" x14ac:dyDescent="0.2">
      <c r="B9" t="s">
        <v>3</v>
      </c>
    </row>
    <row r="11" spans="2:4" x14ac:dyDescent="0.2">
      <c r="B11" t="s">
        <v>4</v>
      </c>
    </row>
    <row r="13" spans="2:4" x14ac:dyDescent="0.2">
      <c r="B13" t="s">
        <v>5</v>
      </c>
    </row>
    <row r="15" spans="2:4" x14ac:dyDescent="0.2">
      <c r="B15" t="s">
        <v>40</v>
      </c>
      <c r="D15" s="6" t="s">
        <v>45</v>
      </c>
    </row>
    <row r="16" spans="2:4" x14ac:dyDescent="0.2">
      <c r="B16" t="s">
        <v>41</v>
      </c>
      <c r="D16" s="6" t="s">
        <v>46</v>
      </c>
    </row>
    <row r="17" spans="2:7" x14ac:dyDescent="0.2">
      <c r="B17" t="s">
        <v>43</v>
      </c>
      <c r="D17" s="5" t="s">
        <v>47</v>
      </c>
    </row>
    <row r="18" spans="2:7" x14ac:dyDescent="0.2">
      <c r="B18" t="s">
        <v>42</v>
      </c>
      <c r="D18" s="6" t="s">
        <v>48</v>
      </c>
    </row>
    <row r="19" spans="2:7" x14ac:dyDescent="0.2">
      <c r="B19" t="s">
        <v>44</v>
      </c>
      <c r="D19" s="6" t="s">
        <v>49</v>
      </c>
    </row>
    <row r="20" spans="2:7" x14ac:dyDescent="0.2">
      <c r="D20" s="6"/>
    </row>
    <row r="23" spans="2:7" x14ac:dyDescent="0.2">
      <c r="B23" s="12" t="s">
        <v>42</v>
      </c>
      <c r="C23" s="12"/>
      <c r="D23" s="12" t="s">
        <v>63</v>
      </c>
      <c r="E23" s="12"/>
      <c r="F23" s="12"/>
      <c r="G23" s="12"/>
    </row>
    <row r="24" spans="2:7" x14ac:dyDescent="0.2">
      <c r="B24" s="12"/>
      <c r="C24" s="12"/>
      <c r="D24" s="12" t="s">
        <v>64</v>
      </c>
      <c r="E24" s="12"/>
      <c r="F24" s="12"/>
      <c r="G24" s="12"/>
    </row>
    <row r="28" spans="2:7" x14ac:dyDescent="0.2">
      <c r="B28" s="12" t="s">
        <v>44</v>
      </c>
      <c r="C28" s="12"/>
      <c r="D28" s="12"/>
      <c r="E28" s="12"/>
      <c r="F28" s="12"/>
      <c r="G28" s="12"/>
    </row>
    <row r="29" spans="2:7" x14ac:dyDescent="0.2">
      <c r="B29" s="12"/>
      <c r="C29" s="12"/>
      <c r="D29" s="12" t="s">
        <v>65</v>
      </c>
      <c r="E29" s="12"/>
      <c r="F29" s="12" t="s">
        <v>67</v>
      </c>
      <c r="G29" s="12"/>
    </row>
    <row r="30" spans="2:7" x14ac:dyDescent="0.2">
      <c r="D30" t="s">
        <v>66</v>
      </c>
      <c r="F30" t="s">
        <v>68</v>
      </c>
    </row>
    <row r="31" spans="2:7" x14ac:dyDescent="0.2">
      <c r="D31" t="s">
        <v>71</v>
      </c>
    </row>
    <row r="32" spans="2:7" x14ac:dyDescent="0.2">
      <c r="D32" s="12" t="s">
        <v>69</v>
      </c>
      <c r="E32" s="12"/>
      <c r="F32" s="12" t="s">
        <v>67</v>
      </c>
    </row>
    <row r="33" spans="1:7" x14ac:dyDescent="0.2">
      <c r="D33" t="s">
        <v>70</v>
      </c>
      <c r="F33" t="s">
        <v>68</v>
      </c>
    </row>
    <row r="38" spans="1:7" x14ac:dyDescent="0.2">
      <c r="A38" s="12"/>
      <c r="B38" s="12" t="s">
        <v>84</v>
      </c>
      <c r="C38" s="12"/>
      <c r="D38" s="6" t="s">
        <v>85</v>
      </c>
      <c r="E38" s="6"/>
      <c r="F38" s="6"/>
      <c r="G38" s="6"/>
    </row>
    <row r="39" spans="1:7" x14ac:dyDescent="0.2">
      <c r="A39" s="12"/>
      <c r="B39" s="12"/>
      <c r="C39" s="12"/>
      <c r="D39" s="6"/>
      <c r="E39" s="6"/>
      <c r="F39" s="6"/>
      <c r="G39" s="6"/>
    </row>
    <row r="40" spans="1:7" x14ac:dyDescent="0.2">
      <c r="A40" s="12"/>
      <c r="B40" s="12" t="s">
        <v>86</v>
      </c>
      <c r="C40" s="12"/>
      <c r="D40" s="6" t="s">
        <v>87</v>
      </c>
      <c r="E40" s="6"/>
      <c r="F40" s="6"/>
      <c r="G40" s="6"/>
    </row>
    <row r="41" spans="1:7" x14ac:dyDescent="0.2">
      <c r="A41" s="12"/>
      <c r="B41" s="12"/>
      <c r="C41" s="12"/>
      <c r="D41" s="6"/>
      <c r="E41" s="6"/>
      <c r="F41" s="6"/>
      <c r="G41" s="6"/>
    </row>
    <row r="42" spans="1:7" x14ac:dyDescent="0.2">
      <c r="A42" s="12"/>
      <c r="B42" s="12" t="s">
        <v>88</v>
      </c>
      <c r="C42" s="12"/>
      <c r="D42" s="6" t="s">
        <v>89</v>
      </c>
      <c r="E42" s="6"/>
      <c r="F42" s="6"/>
      <c r="G42" s="6"/>
    </row>
    <row r="43" spans="1:7" x14ac:dyDescent="0.2">
      <c r="A43" s="12"/>
      <c r="B43" s="12"/>
      <c r="C43" s="12"/>
      <c r="D43" s="6"/>
      <c r="E43" s="6"/>
      <c r="F43" s="6"/>
      <c r="G43" s="6"/>
    </row>
    <row r="44" spans="1:7" x14ac:dyDescent="0.2">
      <c r="A44" s="12"/>
      <c r="B44" s="12" t="s">
        <v>90</v>
      </c>
      <c r="C44" s="12"/>
      <c r="D44" s="6" t="s">
        <v>91</v>
      </c>
      <c r="E44" s="6"/>
      <c r="F44" s="6"/>
      <c r="G44" s="6"/>
    </row>
    <row r="45" spans="1:7" x14ac:dyDescent="0.2">
      <c r="A45" s="12"/>
      <c r="B45" s="12"/>
      <c r="C45" s="12"/>
      <c r="D45" s="6"/>
      <c r="E45" s="6"/>
      <c r="F45" s="6"/>
      <c r="G45" s="6"/>
    </row>
    <row r="46" spans="1:7" x14ac:dyDescent="0.2">
      <c r="A46" s="12"/>
      <c r="B46" s="12" t="s">
        <v>92</v>
      </c>
      <c r="C46" s="12"/>
      <c r="D46" s="6" t="s">
        <v>93</v>
      </c>
      <c r="E46" s="6"/>
      <c r="F46" s="6"/>
      <c r="G46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C0F18-75B1-C648-8532-26A2F9A7A030}">
  <dimension ref="A6:M148"/>
  <sheetViews>
    <sheetView tabSelected="1" topLeftCell="A84" zoomScale="270" workbookViewId="0">
      <selection activeCell="D163" sqref="D163"/>
    </sheetView>
  </sheetViews>
  <sheetFormatPr baseColWidth="10" defaultRowHeight="16" x14ac:dyDescent="0.2"/>
  <sheetData>
    <row r="6" spans="3:7" x14ac:dyDescent="0.2">
      <c r="C6" s="3" t="s">
        <v>6</v>
      </c>
      <c r="D6" s="2"/>
    </row>
    <row r="7" spans="3:7" x14ac:dyDescent="0.2">
      <c r="C7" s="2"/>
      <c r="D7" s="2"/>
    </row>
    <row r="10" spans="3:7" x14ac:dyDescent="0.2">
      <c r="C10" t="s">
        <v>7</v>
      </c>
      <c r="D10" t="s">
        <v>12</v>
      </c>
      <c r="F10">
        <f>2+4</f>
        <v>6</v>
      </c>
      <c r="G10" t="str">
        <f ca="1">_xlfn.FORMULATEXT(F10)</f>
        <v>=2+4</v>
      </c>
    </row>
    <row r="11" spans="3:7" x14ac:dyDescent="0.2">
      <c r="C11" t="s">
        <v>8</v>
      </c>
      <c r="D11" t="s">
        <v>13</v>
      </c>
      <c r="F11">
        <f>10-6</f>
        <v>4</v>
      </c>
      <c r="G11" t="str">
        <f ca="1">_xlfn.FORMULATEXT(F11)</f>
        <v>=10-6</v>
      </c>
    </row>
    <row r="12" spans="3:7" x14ac:dyDescent="0.2">
      <c r="C12" t="s">
        <v>9</v>
      </c>
      <c r="D12" t="s">
        <v>14</v>
      </c>
      <c r="F12">
        <f>6*4</f>
        <v>24</v>
      </c>
      <c r="G12" t="str">
        <f ca="1">_xlfn.FORMULATEXT(F12)</f>
        <v>=6*4</v>
      </c>
    </row>
    <row r="13" spans="3:7" x14ac:dyDescent="0.2">
      <c r="C13" t="s">
        <v>10</v>
      </c>
      <c r="D13" t="s">
        <v>15</v>
      </c>
      <c r="F13">
        <f>10/3</f>
        <v>3.3333333333333335</v>
      </c>
      <c r="G13" t="str">
        <f ca="1">_xlfn.FORMULATEXT(F13)</f>
        <v>=10/3</v>
      </c>
    </row>
    <row r="14" spans="3:7" x14ac:dyDescent="0.2">
      <c r="C14" t="s">
        <v>11</v>
      </c>
      <c r="D14" t="s">
        <v>16</v>
      </c>
      <c r="F14">
        <f>2^-3</f>
        <v>0.125</v>
      </c>
      <c r="G14" t="str">
        <f ca="1">_xlfn.FORMULATEXT(F14)</f>
        <v>=2^-3</v>
      </c>
    </row>
    <row r="17" spans="1:13" x14ac:dyDescent="0.2">
      <c r="C17" t="s">
        <v>17</v>
      </c>
    </row>
    <row r="19" spans="1:13" x14ac:dyDescent="0.2">
      <c r="C19" t="s">
        <v>18</v>
      </c>
      <c r="D19" t="s">
        <v>24</v>
      </c>
      <c r="F19">
        <f>6^2+8*7</f>
        <v>92</v>
      </c>
      <c r="G19" t="str">
        <f ca="1">_xlfn.FORMULATEXT(F19)</f>
        <v>=6^2+8*7</v>
      </c>
    </row>
    <row r="20" spans="1:13" x14ac:dyDescent="0.2">
      <c r="C20" t="s">
        <v>19</v>
      </c>
    </row>
    <row r="21" spans="1:13" x14ac:dyDescent="0.2">
      <c r="C21" t="s">
        <v>20</v>
      </c>
      <c r="G21" t="s">
        <v>25</v>
      </c>
      <c r="H21" t="s">
        <v>27</v>
      </c>
    </row>
    <row r="22" spans="1:13" x14ac:dyDescent="0.2">
      <c r="C22" t="s">
        <v>21</v>
      </c>
      <c r="G22" t="s">
        <v>26</v>
      </c>
      <c r="H22" t="s">
        <v>28</v>
      </c>
    </row>
    <row r="23" spans="1:13" x14ac:dyDescent="0.2">
      <c r="C23" t="s">
        <v>22</v>
      </c>
    </row>
    <row r="24" spans="1:13" x14ac:dyDescent="0.2">
      <c r="C24" t="s">
        <v>23</v>
      </c>
    </row>
    <row r="27" spans="1:13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9" spans="1:13" x14ac:dyDescent="0.2">
      <c r="C29" s="3" t="s">
        <v>2</v>
      </c>
      <c r="D29" s="2"/>
    </row>
    <row r="30" spans="1:13" x14ac:dyDescent="0.2">
      <c r="C30" s="2"/>
      <c r="D30" s="2"/>
    </row>
    <row r="33" spans="3:10" x14ac:dyDescent="0.2">
      <c r="C33" t="s">
        <v>29</v>
      </c>
    </row>
    <row r="35" spans="3:10" x14ac:dyDescent="0.2">
      <c r="C35" t="s">
        <v>30</v>
      </c>
    </row>
    <row r="36" spans="3:10" x14ac:dyDescent="0.2">
      <c r="C36">
        <v>34</v>
      </c>
      <c r="D36" s="4"/>
      <c r="F36" t="s">
        <v>31</v>
      </c>
    </row>
    <row r="37" spans="3:10" x14ac:dyDescent="0.2">
      <c r="C37">
        <v>100</v>
      </c>
    </row>
    <row r="38" spans="3:10" x14ac:dyDescent="0.2">
      <c r="C38">
        <v>64</v>
      </c>
    </row>
    <row r="39" spans="3:10" x14ac:dyDescent="0.2">
      <c r="C39">
        <v>43</v>
      </c>
      <c r="F39">
        <f>SUM(2,3,4)</f>
        <v>9</v>
      </c>
      <c r="G39" t="str">
        <f ca="1">_xlfn.FORMULATEXT(F39)</f>
        <v>=SUM(2,3,4)</v>
      </c>
    </row>
    <row r="40" spans="3:10" x14ac:dyDescent="0.2">
      <c r="C40">
        <v>63</v>
      </c>
    </row>
    <row r="41" spans="3:10" x14ac:dyDescent="0.2">
      <c r="C41">
        <v>58</v>
      </c>
      <c r="G41" t="s">
        <v>32</v>
      </c>
      <c r="J41" t="s">
        <v>34</v>
      </c>
    </row>
    <row r="42" spans="3:10" x14ac:dyDescent="0.2">
      <c r="C42">
        <v>19</v>
      </c>
    </row>
    <row r="43" spans="3:10" x14ac:dyDescent="0.2">
      <c r="C43" t="s">
        <v>38</v>
      </c>
      <c r="G43" t="s">
        <v>33</v>
      </c>
      <c r="J43" t="s">
        <v>35</v>
      </c>
    </row>
    <row r="44" spans="3:10" x14ac:dyDescent="0.2">
      <c r="C44">
        <v>97</v>
      </c>
    </row>
    <row r="45" spans="3:10" x14ac:dyDescent="0.2">
      <c r="C45">
        <v>27</v>
      </c>
      <c r="G45" t="s">
        <v>36</v>
      </c>
      <c r="J45" t="s">
        <v>37</v>
      </c>
    </row>
    <row r="46" spans="3:10" x14ac:dyDescent="0.2">
      <c r="C46">
        <v>65</v>
      </c>
    </row>
    <row r="47" spans="3:10" x14ac:dyDescent="0.2">
      <c r="C47">
        <v>50</v>
      </c>
    </row>
    <row r="48" spans="3:10" x14ac:dyDescent="0.2">
      <c r="C48">
        <v>82</v>
      </c>
    </row>
    <row r="49" spans="1:11" x14ac:dyDescent="0.2">
      <c r="C49">
        <v>66</v>
      </c>
      <c r="F49">
        <f>SUM(C36:C55)</f>
        <v>1000</v>
      </c>
      <c r="G49" t="str">
        <f ca="1">_xlfn.FORMULATEXT(F49)</f>
        <v>=SUM(C36:C55)</v>
      </c>
    </row>
    <row r="50" spans="1:11" x14ac:dyDescent="0.2">
      <c r="C50">
        <v>41</v>
      </c>
    </row>
    <row r="51" spans="1:11" x14ac:dyDescent="0.2">
      <c r="C51">
        <v>13</v>
      </c>
    </row>
    <row r="52" spans="1:11" x14ac:dyDescent="0.2">
      <c r="C52">
        <v>24</v>
      </c>
    </row>
    <row r="53" spans="1:11" x14ac:dyDescent="0.2">
      <c r="C53">
        <v>58</v>
      </c>
    </row>
    <row r="54" spans="1:11" x14ac:dyDescent="0.2">
      <c r="C54">
        <v>23</v>
      </c>
    </row>
    <row r="55" spans="1:11" x14ac:dyDescent="0.2">
      <c r="C55">
        <v>73</v>
      </c>
    </row>
    <row r="58" spans="1:1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60" spans="1:11" x14ac:dyDescent="0.2">
      <c r="B60" t="s">
        <v>39</v>
      </c>
    </row>
    <row r="61" spans="1:11" x14ac:dyDescent="0.2">
      <c r="B61" s="7">
        <v>63</v>
      </c>
      <c r="D61">
        <f>COUNT(B61:B68)</f>
        <v>5</v>
      </c>
      <c r="E61" t="str">
        <f ca="1">_xlfn.FORMULATEXT(D61)</f>
        <v>=COUNT(B61:B68)</v>
      </c>
    </row>
    <row r="62" spans="1:11" x14ac:dyDescent="0.2">
      <c r="B62" s="8"/>
      <c r="D62">
        <f>COUNTA(B61:B68)</f>
        <v>7</v>
      </c>
      <c r="E62" t="str">
        <f ca="1">_xlfn.FORMULATEXT(D62)</f>
        <v>=COUNTA(B61:B68)</v>
      </c>
    </row>
    <row r="63" spans="1:11" x14ac:dyDescent="0.2">
      <c r="B63" s="8">
        <v>19</v>
      </c>
      <c r="D63">
        <f>COUNTBLANK(B61:B68)</f>
        <v>1</v>
      </c>
      <c r="E63" t="str">
        <f ca="1">_xlfn.FORMULATEXT(D63)</f>
        <v>=COUNTBLANK(B61:B68)</v>
      </c>
    </row>
    <row r="64" spans="1:11" x14ac:dyDescent="0.2">
      <c r="B64" s="8" t="s">
        <v>38</v>
      </c>
    </row>
    <row r="65" spans="2:8" x14ac:dyDescent="0.2">
      <c r="B65" s="8">
        <v>97</v>
      </c>
    </row>
    <row r="66" spans="2:8" x14ac:dyDescent="0.2">
      <c r="B66" s="8" t="b">
        <v>1</v>
      </c>
    </row>
    <row r="67" spans="2:8" x14ac:dyDescent="0.2">
      <c r="B67" s="8">
        <v>65</v>
      </c>
    </row>
    <row r="68" spans="2:8" x14ac:dyDescent="0.2">
      <c r="B68" s="9">
        <v>50</v>
      </c>
    </row>
    <row r="72" spans="2:8" x14ac:dyDescent="0.2">
      <c r="B72" t="s">
        <v>50</v>
      </c>
    </row>
    <row r="74" spans="2:8" x14ac:dyDescent="0.2">
      <c r="C74" s="10" t="s">
        <v>51</v>
      </c>
      <c r="D74" s="10" t="s">
        <v>52</v>
      </c>
      <c r="E74" s="10" t="s">
        <v>53</v>
      </c>
      <c r="G74" t="s">
        <v>59</v>
      </c>
    </row>
    <row r="75" spans="2:8" x14ac:dyDescent="0.2">
      <c r="C75" s="11" t="s">
        <v>54</v>
      </c>
      <c r="D75" s="11">
        <v>4000</v>
      </c>
      <c r="E75" s="11">
        <v>17</v>
      </c>
      <c r="G75">
        <f>COUNTIF(E75:E84,"&lt;18")</f>
        <v>3</v>
      </c>
      <c r="H75" t="str">
        <f ca="1">_xlfn.FORMULATEXT(G75)</f>
        <v>=COUNTIF(E75:E84,"&lt;18")</v>
      </c>
    </row>
    <row r="76" spans="2:8" x14ac:dyDescent="0.2">
      <c r="C76" s="11" t="s">
        <v>55</v>
      </c>
      <c r="D76" s="11">
        <v>5600</v>
      </c>
      <c r="E76" s="11">
        <v>18</v>
      </c>
    </row>
    <row r="77" spans="2:8" x14ac:dyDescent="0.2">
      <c r="C77" s="11" t="s">
        <v>56</v>
      </c>
      <c r="D77" s="11">
        <v>9700</v>
      </c>
      <c r="E77" s="11">
        <v>19</v>
      </c>
      <c r="G77" t="s">
        <v>60</v>
      </c>
    </row>
    <row r="78" spans="2:8" x14ac:dyDescent="0.2">
      <c r="C78" s="11" t="s">
        <v>57</v>
      </c>
      <c r="D78" s="11">
        <v>4000</v>
      </c>
      <c r="E78" s="11">
        <v>20</v>
      </c>
      <c r="G78">
        <f>COUNTIF(D75:D84,"&lt;=50000")</f>
        <v>10</v>
      </c>
      <c r="H78" t="str">
        <f ca="1">_xlfn.FORMULATEXT(G78)</f>
        <v>=COUNTIF(D75:D84,"&lt;=50000")</v>
      </c>
    </row>
    <row r="79" spans="2:8" x14ac:dyDescent="0.2">
      <c r="C79" s="11" t="s">
        <v>54</v>
      </c>
      <c r="D79" s="11">
        <v>8000</v>
      </c>
      <c r="E79" s="11">
        <v>21</v>
      </c>
    </row>
    <row r="80" spans="2:8" x14ac:dyDescent="0.2">
      <c r="C80" s="11" t="s">
        <v>55</v>
      </c>
      <c r="D80" s="11">
        <v>9000</v>
      </c>
      <c r="E80" s="11">
        <v>17</v>
      </c>
      <c r="G80" t="s">
        <v>61</v>
      </c>
    </row>
    <row r="81" spans="1:11" x14ac:dyDescent="0.2">
      <c r="C81" s="11" t="s">
        <v>56</v>
      </c>
      <c r="D81" s="11">
        <v>15000</v>
      </c>
      <c r="E81" s="11">
        <v>18</v>
      </c>
      <c r="G81">
        <f>COUNTIF(C75:C84,"MH")</f>
        <v>4</v>
      </c>
      <c r="H81" t="str">
        <f ca="1">_xlfn.FORMULATEXT(G81)</f>
        <v>=COUNTIF(C75:C84,"MH")</v>
      </c>
    </row>
    <row r="82" spans="1:11" x14ac:dyDescent="0.2">
      <c r="C82" s="11" t="s">
        <v>54</v>
      </c>
      <c r="D82" s="11">
        <v>34000</v>
      </c>
      <c r="E82" s="11">
        <v>16</v>
      </c>
    </row>
    <row r="83" spans="1:11" x14ac:dyDescent="0.2">
      <c r="C83" s="11" t="s">
        <v>58</v>
      </c>
      <c r="D83" s="11">
        <v>9000</v>
      </c>
      <c r="E83" s="11">
        <v>20</v>
      </c>
      <c r="G83" s="12" t="s">
        <v>62</v>
      </c>
    </row>
    <row r="84" spans="1:11" x14ac:dyDescent="0.2">
      <c r="C84" s="11" t="s">
        <v>54</v>
      </c>
      <c r="D84" s="11">
        <v>9000</v>
      </c>
      <c r="E84" s="11">
        <v>24</v>
      </c>
      <c r="G84">
        <f>COUNTIFS(C75:C84,"MH",D75:D84,"&gt;=10000")</f>
        <v>1</v>
      </c>
      <c r="H84" t="str">
        <f ca="1">_xlfn.FORMULATEXT(G84)</f>
        <v>=COUNTIFS(C75:C84,"MH",D75:D84,"&gt;=10000")</v>
      </c>
    </row>
    <row r="87" spans="1:1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9" spans="1:11" x14ac:dyDescent="0.2">
      <c r="C89" s="13" t="s">
        <v>72</v>
      </c>
      <c r="D89" s="2"/>
    </row>
    <row r="90" spans="1:11" x14ac:dyDescent="0.2">
      <c r="C90" s="2"/>
      <c r="D90" s="2"/>
    </row>
    <row r="92" spans="1:11" x14ac:dyDescent="0.2">
      <c r="C92" t="s">
        <v>73</v>
      </c>
      <c r="K92" t="s">
        <v>82</v>
      </c>
    </row>
    <row r="94" spans="1:11" x14ac:dyDescent="0.2">
      <c r="D94" t="s">
        <v>75</v>
      </c>
      <c r="F94" t="s">
        <v>76</v>
      </c>
      <c r="I94">
        <v>3</v>
      </c>
    </row>
    <row r="96" spans="1:11" x14ac:dyDescent="0.2">
      <c r="D96" t="s">
        <v>74</v>
      </c>
      <c r="F96" t="s">
        <v>77</v>
      </c>
      <c r="I96">
        <v>1</v>
      </c>
    </row>
    <row r="99" spans="1:11" x14ac:dyDescent="0.2">
      <c r="D99" t="s">
        <v>78</v>
      </c>
      <c r="F99" t="s">
        <v>79</v>
      </c>
    </row>
    <row r="101" spans="1:11" x14ac:dyDescent="0.2">
      <c r="D101" t="s">
        <v>80</v>
      </c>
      <c r="F101">
        <f>MOD(10,3)</f>
        <v>1</v>
      </c>
      <c r="G101" t="str">
        <f ca="1">_xlfn.FORMULATEXT(Sheet2!F101)</f>
        <v>=MOD(10,3)</v>
      </c>
    </row>
    <row r="102" spans="1:11" x14ac:dyDescent="0.2">
      <c r="D102" t="s">
        <v>81</v>
      </c>
    </row>
    <row r="104" spans="1:11" x14ac:dyDescent="0.2">
      <c r="F104">
        <f>QUOTIENT(10,3)</f>
        <v>3</v>
      </c>
      <c r="G104" t="str">
        <f ca="1">_xlfn.FORMULATEXT(Sheet2!F104)</f>
        <v>=QUOTIENT(10,3)</v>
      </c>
    </row>
    <row r="107" spans="1:1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9" spans="1:11" x14ac:dyDescent="0.2">
      <c r="C109" s="3" t="s">
        <v>5</v>
      </c>
      <c r="D109" s="14"/>
    </row>
    <row r="110" spans="1:11" x14ac:dyDescent="0.2">
      <c r="C110" s="14"/>
      <c r="D110" s="14"/>
    </row>
    <row r="113" spans="2:12" x14ac:dyDescent="0.2">
      <c r="C113" t="s">
        <v>83</v>
      </c>
    </row>
    <row r="115" spans="2:12" x14ac:dyDescent="0.2">
      <c r="D115" s="10" t="s">
        <v>52</v>
      </c>
    </row>
    <row r="116" spans="2:12" x14ac:dyDescent="0.2">
      <c r="D116" s="15">
        <v>4000</v>
      </c>
      <c r="F116" cm="1">
        <f t="array" ref="F116:F122">_xlfn.UNIQUE(D116:D125)</f>
        <v>4000</v>
      </c>
    </row>
    <row r="117" spans="2:12" x14ac:dyDescent="0.2">
      <c r="D117" s="11">
        <v>5600</v>
      </c>
      <c r="F117">
        <v>5600</v>
      </c>
      <c r="H117">
        <f>COUNT(_xlfn.UNIQUE(D116:D125))</f>
        <v>7</v>
      </c>
      <c r="I117" t="str">
        <f ca="1">_xlfn.FORMULATEXT(H117)</f>
        <v>=COUNT(UNIQUE(D116:D125))</v>
      </c>
    </row>
    <row r="118" spans="2:12" x14ac:dyDescent="0.2">
      <c r="D118" s="11">
        <v>9700</v>
      </c>
      <c r="F118">
        <v>9700</v>
      </c>
    </row>
    <row r="119" spans="2:12" x14ac:dyDescent="0.2">
      <c r="D119" s="15">
        <v>4000</v>
      </c>
      <c r="F119">
        <v>8000</v>
      </c>
      <c r="H119">
        <f>COUNTA(D116:D125)</f>
        <v>10</v>
      </c>
      <c r="I119" t="str">
        <f ca="1">_xlfn.FORMULATEXT(H119)</f>
        <v>=COUNTA(D116:D125)</v>
      </c>
    </row>
    <row r="120" spans="2:12" x14ac:dyDescent="0.2">
      <c r="D120" s="11">
        <v>8000</v>
      </c>
      <c r="F120">
        <v>9000</v>
      </c>
    </row>
    <row r="121" spans="2:12" x14ac:dyDescent="0.2">
      <c r="D121" s="16">
        <v>9000</v>
      </c>
      <c r="F121">
        <v>15000</v>
      </c>
    </row>
    <row r="122" spans="2:12" x14ac:dyDescent="0.2">
      <c r="D122" s="11">
        <v>15000</v>
      </c>
      <c r="F122">
        <v>34000</v>
      </c>
    </row>
    <row r="123" spans="2:12" x14ac:dyDescent="0.2">
      <c r="D123" s="11">
        <v>34000</v>
      </c>
    </row>
    <row r="124" spans="2:12" x14ac:dyDescent="0.2">
      <c r="D124" s="16">
        <v>9000</v>
      </c>
    </row>
    <row r="125" spans="2:12" x14ac:dyDescent="0.2">
      <c r="D125" s="16">
        <v>9000</v>
      </c>
    </row>
    <row r="128" spans="2:12" x14ac:dyDescent="0.2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30" spans="3:7" x14ac:dyDescent="0.2">
      <c r="C130" s="2" t="s">
        <v>88</v>
      </c>
      <c r="D130" s="2"/>
    </row>
    <row r="131" spans="3:7" x14ac:dyDescent="0.2">
      <c r="C131" s="2"/>
      <c r="D131" s="2"/>
    </row>
    <row r="134" spans="3:7" x14ac:dyDescent="0.2">
      <c r="C134" t="s">
        <v>94</v>
      </c>
    </row>
    <row r="135" spans="3:7" x14ac:dyDescent="0.2">
      <c r="E135" t="s">
        <v>88</v>
      </c>
      <c r="F135" t="str">
        <f>"= (SUM OF VALUES ÷ NUM of VALUES)"</f>
        <v>= (SUM OF VALUES ÷ NUM of VALUES)</v>
      </c>
    </row>
    <row r="138" spans="3:7" x14ac:dyDescent="0.2">
      <c r="C138" s="10" t="s">
        <v>52</v>
      </c>
    </row>
    <row r="139" spans="3:7" x14ac:dyDescent="0.2">
      <c r="C139" s="15">
        <v>4000</v>
      </c>
    </row>
    <row r="140" spans="3:7" x14ac:dyDescent="0.2">
      <c r="C140" s="11">
        <v>5600</v>
      </c>
      <c r="E140" t="s">
        <v>95</v>
      </c>
    </row>
    <row r="141" spans="3:7" x14ac:dyDescent="0.2">
      <c r="C141" s="11">
        <v>9700</v>
      </c>
    </row>
    <row r="142" spans="3:7" x14ac:dyDescent="0.2">
      <c r="C142" s="15">
        <v>4000</v>
      </c>
      <c r="E142">
        <f>AVERAGE(C139:C148)</f>
        <v>10730</v>
      </c>
      <c r="G142">
        <f>SUM(C139:C148)/COUNT(C139:C148)</f>
        <v>10730</v>
      </c>
    </row>
    <row r="143" spans="3:7" x14ac:dyDescent="0.2">
      <c r="C143" s="11">
        <v>8000</v>
      </c>
    </row>
    <row r="144" spans="3:7" x14ac:dyDescent="0.2">
      <c r="C144" s="16">
        <v>9000</v>
      </c>
      <c r="E144" t="str">
        <f ca="1">_xlfn.FORMULATEXT(E142)</f>
        <v>=AVERAGE(C139:C148)</v>
      </c>
      <c r="G144" t="str">
        <f ca="1">_xlfn.FORMULATEXT(G142)</f>
        <v>=SUM(C139:C148)/COUNT(C139:C148)</v>
      </c>
    </row>
    <row r="145" spans="3:3" x14ac:dyDescent="0.2">
      <c r="C145" s="11">
        <v>15000</v>
      </c>
    </row>
    <row r="146" spans="3:3" x14ac:dyDescent="0.2">
      <c r="C146" s="11">
        <v>34000</v>
      </c>
    </row>
    <row r="147" spans="3:3" x14ac:dyDescent="0.2">
      <c r="C147" s="16">
        <v>9000</v>
      </c>
    </row>
    <row r="148" spans="3:3" x14ac:dyDescent="0.2">
      <c r="C148" s="16">
        <v>9000</v>
      </c>
    </row>
  </sheetData>
  <mergeCells count="5">
    <mergeCell ref="C29:D30"/>
    <mergeCell ref="C6:D7"/>
    <mergeCell ref="C89:D90"/>
    <mergeCell ref="C109:D110"/>
    <mergeCell ref="C130:D13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2026-05-14T15:36:28Z</dcterms:created>
  <dcterms:modified xsi:type="dcterms:W3CDTF">2026-05-14T17:25:29Z</dcterms:modified>
</cp:coreProperties>
</file>