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7D7202C3-6DED-8849-BA3A-60E9ECDE4599}" xr6:coauthVersionLast="47" xr6:coauthVersionMax="47" xr10:uidLastSave="{00000000-0000-0000-0000-000000000000}"/>
  <bookViews>
    <workbookView xWindow="380" yWindow="500" windowWidth="28040" windowHeight="16940" activeTab="2" xr2:uid="{AD4B551F-E3E4-E749-BCEF-79E5047F43A1}"/>
  </bookViews>
  <sheets>
    <sheet name="Sheet1" sheetId="1" r:id="rId1"/>
    <sheet name="Sheet2" sheetId="2" r:id="rId2"/>
    <sheet name="product" sheetId="3" r:id="rId3"/>
    <sheet name="agenda" sheetId="4" r:id="rId4"/>
    <sheet name="Sheet5" sheetId="5" r:id="rId5"/>
  </sheets>
  <definedNames>
    <definedName name="PIE">Sheet1!$E$5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K4" i="2"/>
  <c r="I6" i="3"/>
  <c r="H16" i="2"/>
  <c r="G17" i="3"/>
  <c r="G14" i="3"/>
  <c r="G2" i="3"/>
  <c r="E14" i="3"/>
  <c r="E6" i="3"/>
  <c r="E30" i="3"/>
  <c r="E26" i="3"/>
  <c r="E10" i="3"/>
  <c r="E38" i="3"/>
  <c r="E22" i="3"/>
  <c r="E34" i="3"/>
  <c r="E42" i="3"/>
  <c r="E46" i="3"/>
  <c r="E18" i="3"/>
  <c r="E50" i="3"/>
  <c r="E7" i="3"/>
  <c r="E15" i="3"/>
  <c r="E31" i="3"/>
  <c r="E27" i="3"/>
  <c r="E11" i="3"/>
  <c r="E39" i="3"/>
  <c r="E23" i="3"/>
  <c r="E35" i="3"/>
  <c r="E43" i="3"/>
  <c r="E3" i="3"/>
  <c r="E47" i="3"/>
  <c r="E19" i="3"/>
  <c r="E51" i="3"/>
  <c r="E8" i="3"/>
  <c r="E16" i="3"/>
  <c r="E32" i="3"/>
  <c r="E28" i="3"/>
  <c r="E12" i="3"/>
  <c r="E40" i="3"/>
  <c r="E24" i="3"/>
  <c r="E36" i="3"/>
  <c r="E44" i="3"/>
  <c r="E4" i="3"/>
  <c r="E48" i="3"/>
  <c r="E20" i="3"/>
  <c r="E52" i="3"/>
  <c r="E9" i="3"/>
  <c r="E17" i="3"/>
  <c r="E33" i="3"/>
  <c r="E29" i="3"/>
  <c r="E13" i="3"/>
  <c r="E41" i="3"/>
  <c r="E25" i="3"/>
  <c r="E37" i="3"/>
  <c r="E45" i="3"/>
  <c r="E5" i="3"/>
  <c r="E49" i="3"/>
  <c r="E21" i="3"/>
  <c r="E53" i="3"/>
  <c r="G9" i="3"/>
  <c r="D9" i="1"/>
  <c r="B16" i="4"/>
  <c r="B10" i="4"/>
  <c r="B13" i="4"/>
  <c r="B8" i="4"/>
  <c r="E3" i="1"/>
  <c r="C2" i="1"/>
  <c r="C3" i="1"/>
  <c r="C4" i="1"/>
  <c r="C5" i="1"/>
  <c r="C6" i="1"/>
  <c r="C7" i="1"/>
  <c r="C1" i="1"/>
  <c r="E5" i="2" a="1"/>
  <c r="E5" i="2" s="1"/>
  <c r="B4" i="2"/>
  <c r="B58" i="1" l="1" a="1"/>
  <c r="B58" i="1" s="1"/>
  <c r="A56" i="2" a="1"/>
  <c r="A5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<sst xmlns="http://schemas.openxmlformats.org/spreadsheetml/2006/main" count="152" uniqueCount="44">
  <si>
    <t>DATE</t>
  </si>
  <si>
    <t>PRODUCT ID</t>
  </si>
  <si>
    <t>QUANTITY</t>
  </si>
  <si>
    <t>SALE TYPE</t>
  </si>
  <si>
    <t>P0024</t>
  </si>
  <si>
    <t>Wholesaler</t>
  </si>
  <si>
    <t>P0038</t>
  </si>
  <si>
    <t>Online</t>
  </si>
  <si>
    <t>P0013</t>
  </si>
  <si>
    <t>Direct Sales</t>
  </si>
  <si>
    <t>P0004</t>
  </si>
  <si>
    <t>P0035</t>
  </si>
  <si>
    <t>P0031</t>
  </si>
  <si>
    <t>P0003</t>
  </si>
  <si>
    <t>P0025</t>
  </si>
  <si>
    <t>P0037</t>
  </si>
  <si>
    <t>P0014</t>
  </si>
  <si>
    <t>P0042</t>
  </si>
  <si>
    <t>P0044</t>
  </si>
  <si>
    <t>Table is a Type of Grid only…</t>
  </si>
  <si>
    <t>Range Syntax</t>
  </si>
  <si>
    <t>Dynamic Copy / mirroring a cell</t>
  </si>
  <si>
    <t>Dynamic Copy of range</t>
  </si>
  <si>
    <t>Dynamic copy from other sheet</t>
  </si>
  <si>
    <t xml:space="preserve">CTRL + SHIFT + ARROW </t>
  </si>
  <si>
    <t>selecting on one direction</t>
  </si>
  <si>
    <t>CTRL + ARROW</t>
  </si>
  <si>
    <t>This is for Jump . Navigation</t>
  </si>
  <si>
    <t>Date</t>
  </si>
  <si>
    <t>Price</t>
  </si>
  <si>
    <t>Prod Type</t>
  </si>
  <si>
    <t>.</t>
  </si>
  <si>
    <t>..</t>
  </si>
  <si>
    <t>Column1</t>
  </si>
  <si>
    <t>Column2</t>
  </si>
  <si>
    <t>Column3</t>
  </si>
  <si>
    <t>#SPILL!</t>
  </si>
  <si>
    <t>Column4</t>
  </si>
  <si>
    <t>Table</t>
  </si>
  <si>
    <t>It’s a structured data, enabling easy access with the names of table and the headers,Formatting is also done by defalut</t>
  </si>
  <si>
    <t>Currency VS accounting</t>
  </si>
  <si>
    <t>1) the dist b/w your Symbol and the value, 2) 0 is shown as zero in Currency, but "-" in accountin</t>
  </si>
  <si>
    <t>TL - TOP LEFT</t>
  </si>
  <si>
    <t>BR - BOTTOM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</si>
</sst>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9" formatCode="&quot;₹&quot;#,##0.00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</fills>
  <borders count="4">
    <border>
      <left/>
      <right/>
      <top/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4" fontId="1" fillId="0" borderId="0" xfId="0" applyNumberFormat="1" applyFont="1"/>
    <xf numFmtId="14" fontId="0" fillId="0" borderId="0" xfId="0" applyNumberFormat="1"/>
    <xf numFmtId="2" fontId="0" fillId="0" borderId="0" xfId="0" applyNumberFormat="1"/>
    <xf numFmtId="169" fontId="0" fillId="0" borderId="0" xfId="0" applyNumberFormat="1"/>
    <xf numFmtId="44" fontId="0" fillId="0" borderId="0" xfId="0" applyNumberFormat="1"/>
    <xf numFmtId="14" fontId="1" fillId="2" borderId="1" xfId="0" applyNumberFormat="1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4" fontId="1" fillId="0" borderId="1" xfId="0" applyNumberFormat="1" applyFont="1" applyBorder="1"/>
    <xf numFmtId="0" fontId="1" fillId="0" borderId="2" xfId="0" applyFont="1" applyBorder="1"/>
    <xf numFmtId="0" fontId="1" fillId="0" borderId="3" xfId="0" applyFont="1" applyBorder="1"/>
  </cellXfs>
  <cellStyles count="1">
    <cellStyle name="Normal" xfId="0" builtinId="0"/>
  </cellStyles>
  <dxfs count="10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A28276-7750-4341-9738-FB00946C2416}" name="Table5" displayName="Table5" ref="A21:E38" totalsRowShown="0">
  <autoFilter ref="A21:E38" xr:uid="{41A28276-7750-4341-9738-FB00946C2416}"/>
  <tableColumns count="5">
    <tableColumn id="1" xr3:uid="{FCCF1EF2-69F3-0B48-94E6-6A631F31D0E3}" name="#SPILL!"/>
    <tableColumn id="2" xr3:uid="{9E70B904-DEBF-3D45-B4D1-AA65C26E4317}" name="Column1" dataDxfId="0"/>
    <tableColumn id="3" xr3:uid="{D2121EE3-6B2D-6E49-BFD6-137D4523C56F}" name="Column2"/>
    <tableColumn id="4" xr3:uid="{3EA495A4-EF10-814C-9A0A-4D70FA638A03}" name="Column3"/>
    <tableColumn id="5" xr3:uid="{4AB0F6EE-8B2F-3F40-9DF3-C6F2507CCB40}" name="Column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98CFDD-A3AB-344E-8AB2-1165AAF7641A}" name="Table2" displayName="Table2" ref="B7:C13" totalsRowShown="0">
  <autoFilter ref="B7:C13" xr:uid="{0798CFDD-A3AB-344E-8AB2-1165AAF7641A}"/>
  <tableColumns count="2">
    <tableColumn id="1" xr3:uid="{524A6403-E77E-F543-ADE9-865DE9AB66C1}" name="Column1" dataDxfId="5">
      <calculatedColumnFormula array="1">Sheet1!A2:B7</calculatedColumnFormula>
    </tableColumn>
    <tableColumn id="2" xr3:uid="{E37F8102-FD8D-1C49-9314-3F1051924319}" name="Column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2CDF4E-C9AA-634C-9180-0D8DBED6B2EB}" name="Table4" displayName="Table4" ref="H5:I13" totalsRowShown="0">
  <autoFilter ref="H5:I13" xr:uid="{AE2CDF4E-C9AA-634C-9180-0D8DBED6B2EB}"/>
  <tableColumns count="2">
    <tableColumn id="1" xr3:uid="{85148151-BBC5-2F4D-822B-9A1901EDB3B8}" name="Column1" dataDxfId="3"/>
    <tableColumn id="2" xr3:uid="{13FCDC60-7FD5-8844-9D68-D660E787C57B}" name="Column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D2CBFC-2F56-DD42-8A1C-5AD6CF45D061}" name="prod" displayName="prod" ref="A1:E53" totalsRowShown="0" headerRowDxfId="6" dataDxfId="7">
  <autoFilter ref="A1:E53" xr:uid="{B0D2CBFC-2F56-DD42-8A1C-5AD6CF45D061}"/>
  <sortState xmlns:xlrd2="http://schemas.microsoft.com/office/spreadsheetml/2017/richdata2" ref="A2:E53">
    <sortCondition descending="1" ref="D1:D53"/>
  </sortState>
  <tableColumns count="5">
    <tableColumn id="1" xr3:uid="{59137C3F-BD84-6F42-A263-1BCB5E9DF25F}" name="DATE" dataDxfId="1"/>
    <tableColumn id="2" xr3:uid="{933C17C8-3D8A-6D4D-B442-A99D44FCD5C4}" name="PRODUCT ID" dataDxfId="2"/>
    <tableColumn id="3" xr3:uid="{1F535B9B-BF91-DB4B-8358-E9D424518570}" name="QUANTITY" dataDxfId="9"/>
    <tableColumn id="4" xr3:uid="{C328ACA6-4937-714D-AD9D-DCAF132DA432}" name="SALE TYPE" dataDxfId="8"/>
    <tableColumn id="7" xr3:uid="{9DC79B7E-76A4-1E4E-BB24-24D323B02AFE}" name="Column1" dataDxfId="4">
      <calculatedColumnFormula>prod[[#This Row],[QUANTITY]]*8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27A2-5139-D946-A27E-6C3463A13754}">
  <dimension ref="A1:F109"/>
  <sheetViews>
    <sheetView topLeftCell="A54" zoomScale="172" workbookViewId="0">
      <selection activeCell="H58" sqref="H58"/>
    </sheetView>
  </sheetViews>
  <sheetFormatPr baseColWidth="10" defaultRowHeight="16" x14ac:dyDescent="0.2"/>
  <cols>
    <col min="2" max="2" width="10.83203125" style="4"/>
  </cols>
  <sheetData>
    <row r="1" spans="1:5" x14ac:dyDescent="0.2">
      <c r="A1">
        <v>1</v>
      </c>
      <c r="B1" s="4">
        <v>1</v>
      </c>
      <c r="C1">
        <f>B1+A1</f>
        <v>2</v>
      </c>
    </row>
    <row r="2" spans="1:5" x14ac:dyDescent="0.2">
      <c r="A2">
        <v>2</v>
      </c>
      <c r="B2" s="4">
        <v>2</v>
      </c>
      <c r="C2">
        <f t="shared" ref="C2:C7" si="0">B2+A2</f>
        <v>4</v>
      </c>
    </row>
    <row r="3" spans="1:5" x14ac:dyDescent="0.2">
      <c r="A3">
        <v>3</v>
      </c>
      <c r="B3" s="4">
        <v>3</v>
      </c>
      <c r="C3">
        <f t="shared" si="0"/>
        <v>6</v>
      </c>
      <c r="E3" t="str">
        <f xml:space="preserve"> "&lt;TL&gt; : &lt;BR&gt;"</f>
        <v>&lt;TL&gt; : &lt;BR&gt;</v>
      </c>
    </row>
    <row r="4" spans="1:5" x14ac:dyDescent="0.2">
      <c r="A4">
        <v>40</v>
      </c>
      <c r="B4" s="4">
        <v>4</v>
      </c>
      <c r="C4">
        <f t="shared" si="0"/>
        <v>44</v>
      </c>
    </row>
    <row r="5" spans="1:5" x14ac:dyDescent="0.2">
      <c r="A5">
        <v>5</v>
      </c>
      <c r="B5" s="4">
        <v>5</v>
      </c>
      <c r="C5">
        <f t="shared" si="0"/>
        <v>10</v>
      </c>
      <c r="E5">
        <v>3.14</v>
      </c>
    </row>
    <row r="6" spans="1:5" x14ac:dyDescent="0.2">
      <c r="A6">
        <v>6</v>
      </c>
      <c r="B6" s="4">
        <v>6</v>
      </c>
      <c r="C6">
        <f t="shared" si="0"/>
        <v>12</v>
      </c>
    </row>
    <row r="7" spans="1:5" x14ac:dyDescent="0.2">
      <c r="A7">
        <v>7</v>
      </c>
      <c r="B7" s="4">
        <v>87</v>
      </c>
      <c r="C7">
        <f t="shared" si="0"/>
        <v>94</v>
      </c>
    </row>
    <row r="9" spans="1:5" x14ac:dyDescent="0.2">
      <c r="D9">
        <f>PIE</f>
        <v>3.14</v>
      </c>
    </row>
    <row r="21" spans="1:5" x14ac:dyDescent="0.2">
      <c r="A21" s="4" t="s">
        <v>36</v>
      </c>
      <c r="B21" s="4" t="s">
        <v>33</v>
      </c>
      <c r="C21" t="s">
        <v>34</v>
      </c>
      <c r="D21" t="s">
        <v>35</v>
      </c>
      <c r="E21" t="s">
        <v>37</v>
      </c>
    </row>
    <row r="58" spans="2:6" x14ac:dyDescent="0.2">
      <c r="B58" s="4" cm="1">
        <f t="array" ref="B58:F109">prod[]</f>
        <v>44207</v>
      </c>
      <c r="C58" t="str">
        <v>P0014</v>
      </c>
      <c r="D58">
        <v>4</v>
      </c>
      <c r="E58" t="str">
        <v>Wholesaler</v>
      </c>
      <c r="F58">
        <v>32</v>
      </c>
    </row>
    <row r="59" spans="2:6" x14ac:dyDescent="0.2">
      <c r="B59" s="4">
        <v>44207</v>
      </c>
      <c r="C59" t="str">
        <v>P0014</v>
      </c>
      <c r="D59">
        <v>4</v>
      </c>
      <c r="E59" t="str">
        <v>Wholesaler</v>
      </c>
      <c r="F59">
        <v>32</v>
      </c>
    </row>
    <row r="60" spans="2:6" x14ac:dyDescent="0.2">
      <c r="B60" s="4">
        <v>44207</v>
      </c>
      <c r="C60" t="str">
        <v>P0014</v>
      </c>
      <c r="D60">
        <v>4</v>
      </c>
      <c r="E60" t="str">
        <v>Wholesaler</v>
      </c>
      <c r="F60">
        <v>32</v>
      </c>
    </row>
    <row r="61" spans="2:6" x14ac:dyDescent="0.2">
      <c r="B61" s="4">
        <v>44207</v>
      </c>
      <c r="C61" t="str">
        <v>P0014</v>
      </c>
      <c r="D61">
        <v>4</v>
      </c>
      <c r="E61" t="str">
        <v>Wholesaler</v>
      </c>
      <c r="F61">
        <v>32</v>
      </c>
    </row>
    <row r="62" spans="2:6" x14ac:dyDescent="0.2">
      <c r="B62" s="4">
        <v>44197</v>
      </c>
      <c r="C62" t="str">
        <v>P0024</v>
      </c>
      <c r="D62">
        <v>9</v>
      </c>
      <c r="E62" t="str">
        <v>Wholesaler</v>
      </c>
      <c r="F62">
        <v>72</v>
      </c>
    </row>
    <row r="63" spans="2:6" x14ac:dyDescent="0.2">
      <c r="B63" s="4">
        <v>44197</v>
      </c>
      <c r="C63" t="str">
        <v>P0024</v>
      </c>
      <c r="D63">
        <v>9</v>
      </c>
      <c r="E63" t="str">
        <v>Wholesaler</v>
      </c>
      <c r="F63">
        <v>72</v>
      </c>
    </row>
    <row r="64" spans="2:6" x14ac:dyDescent="0.2">
      <c r="B64" s="4">
        <v>44197</v>
      </c>
      <c r="C64" t="str">
        <v>P0024</v>
      </c>
      <c r="D64">
        <v>9</v>
      </c>
      <c r="E64" t="str">
        <v>Wholesaler</v>
      </c>
      <c r="F64">
        <v>72</v>
      </c>
    </row>
    <row r="65" spans="2:6" x14ac:dyDescent="0.2">
      <c r="B65" s="4">
        <v>44197</v>
      </c>
      <c r="C65" t="str">
        <v>P0024</v>
      </c>
      <c r="D65">
        <v>9</v>
      </c>
      <c r="E65" t="str">
        <v>Wholesaler</v>
      </c>
      <c r="F65">
        <v>72</v>
      </c>
    </row>
    <row r="66" spans="2:6" x14ac:dyDescent="0.2">
      <c r="B66" s="4">
        <v>44200</v>
      </c>
      <c r="C66" t="str">
        <v>P0035</v>
      </c>
      <c r="D66">
        <v>12</v>
      </c>
      <c r="E66" t="str">
        <v>Online</v>
      </c>
      <c r="F66">
        <v>96</v>
      </c>
    </row>
    <row r="67" spans="2:6" x14ac:dyDescent="0.2">
      <c r="B67" s="4">
        <v>44200</v>
      </c>
      <c r="C67" t="str">
        <v>P0035</v>
      </c>
      <c r="D67">
        <v>12</v>
      </c>
      <c r="E67" t="str">
        <v>Online</v>
      </c>
      <c r="F67">
        <v>96</v>
      </c>
    </row>
    <row r="68" spans="2:6" x14ac:dyDescent="0.2">
      <c r="B68" s="4">
        <v>44200</v>
      </c>
      <c r="C68" t="str">
        <v>P0035</v>
      </c>
      <c r="D68">
        <v>12</v>
      </c>
      <c r="E68" t="str">
        <v>Online</v>
      </c>
      <c r="F68">
        <v>96</v>
      </c>
    </row>
    <row r="69" spans="2:6" x14ac:dyDescent="0.2">
      <c r="B69" s="4">
        <v>44200</v>
      </c>
      <c r="C69" t="str">
        <v>P0035</v>
      </c>
      <c r="D69">
        <v>12</v>
      </c>
      <c r="E69" t="str">
        <v>Online</v>
      </c>
      <c r="F69">
        <v>96</v>
      </c>
    </row>
    <row r="70" spans="2:6" x14ac:dyDescent="0.2">
      <c r="B70" s="4">
        <v>44198</v>
      </c>
      <c r="C70" t="str">
        <v>P0038</v>
      </c>
      <c r="D70">
        <v>15</v>
      </c>
      <c r="E70" t="str">
        <v>Online</v>
      </c>
      <c r="F70">
        <v>120</v>
      </c>
    </row>
    <row r="71" spans="2:6" x14ac:dyDescent="0.2">
      <c r="B71" s="4">
        <v>44198</v>
      </c>
      <c r="C71" t="str">
        <v>P0038</v>
      </c>
      <c r="D71">
        <v>15</v>
      </c>
      <c r="E71" t="str">
        <v>Online</v>
      </c>
      <c r="F71">
        <v>120</v>
      </c>
    </row>
    <row r="72" spans="2:6" x14ac:dyDescent="0.2">
      <c r="B72" s="4">
        <v>44198</v>
      </c>
      <c r="C72" t="str">
        <v>P0038</v>
      </c>
      <c r="D72">
        <v>15</v>
      </c>
      <c r="E72" t="str">
        <v>Online</v>
      </c>
      <c r="F72">
        <v>120</v>
      </c>
    </row>
    <row r="73" spans="2:6" x14ac:dyDescent="0.2">
      <c r="B73" s="4">
        <v>44198</v>
      </c>
      <c r="C73" t="str">
        <v>P0038</v>
      </c>
      <c r="D73">
        <v>15</v>
      </c>
      <c r="E73" t="str">
        <v>Online</v>
      </c>
      <c r="F73">
        <v>120</v>
      </c>
    </row>
    <row r="74" spans="2:6" x14ac:dyDescent="0.2">
      <c r="B74" s="4">
        <v>44208</v>
      </c>
      <c r="C74" t="str">
        <v>P0042</v>
      </c>
      <c r="D74">
        <v>10</v>
      </c>
      <c r="E74" t="str">
        <v>Online</v>
      </c>
      <c r="F74">
        <v>80</v>
      </c>
    </row>
    <row r="75" spans="2:6" x14ac:dyDescent="0.2">
      <c r="B75" s="4">
        <v>44208</v>
      </c>
      <c r="C75" t="str">
        <v>P0042</v>
      </c>
      <c r="D75">
        <v>10</v>
      </c>
      <c r="E75" t="str">
        <v>Online</v>
      </c>
      <c r="F75">
        <v>80</v>
      </c>
    </row>
    <row r="76" spans="2:6" x14ac:dyDescent="0.2">
      <c r="B76" s="4">
        <v>44208</v>
      </c>
      <c r="C76" t="str">
        <v>P0042</v>
      </c>
      <c r="D76">
        <v>10</v>
      </c>
      <c r="E76" t="str">
        <v>Online</v>
      </c>
      <c r="F76">
        <v>80</v>
      </c>
    </row>
    <row r="77" spans="2:6" x14ac:dyDescent="0.2">
      <c r="B77" s="4">
        <v>44208</v>
      </c>
      <c r="C77" t="str">
        <v>P0042</v>
      </c>
      <c r="D77">
        <v>10</v>
      </c>
      <c r="E77" t="str">
        <v>Online</v>
      </c>
      <c r="F77">
        <v>80</v>
      </c>
    </row>
    <row r="78" spans="2:6" x14ac:dyDescent="0.2">
      <c r="B78" s="4">
        <v>44205</v>
      </c>
      <c r="C78" t="str">
        <v>P0003</v>
      </c>
      <c r="D78">
        <v>8</v>
      </c>
      <c r="E78" t="str">
        <v>Direct Sales</v>
      </c>
      <c r="F78">
        <v>64</v>
      </c>
    </row>
    <row r="79" spans="2:6" x14ac:dyDescent="0.2">
      <c r="B79" s="4">
        <v>44205</v>
      </c>
      <c r="C79" t="str">
        <v>P0003</v>
      </c>
      <c r="D79">
        <v>8</v>
      </c>
      <c r="E79" t="str">
        <v>Direct Sales</v>
      </c>
      <c r="F79">
        <v>64</v>
      </c>
    </row>
    <row r="80" spans="2:6" x14ac:dyDescent="0.2">
      <c r="B80" s="4">
        <v>44205</v>
      </c>
      <c r="C80" t="str">
        <v>P0003</v>
      </c>
      <c r="D80">
        <v>8</v>
      </c>
      <c r="E80" t="str">
        <v>Direct Sales</v>
      </c>
      <c r="F80">
        <v>64</v>
      </c>
    </row>
    <row r="81" spans="2:6" x14ac:dyDescent="0.2">
      <c r="B81" s="4">
        <v>44205</v>
      </c>
      <c r="C81" t="str">
        <v>P0003</v>
      </c>
      <c r="D81">
        <v>8</v>
      </c>
      <c r="E81" t="str">
        <v>Direct Sales</v>
      </c>
      <c r="F81">
        <v>64</v>
      </c>
    </row>
    <row r="82" spans="2:6" x14ac:dyDescent="0.2">
      <c r="B82" s="4">
        <v>44199</v>
      </c>
      <c r="C82" t="str">
        <v>P0004</v>
      </c>
      <c r="D82">
        <v>5</v>
      </c>
      <c r="E82" t="str">
        <v>Direct Sales</v>
      </c>
      <c r="F82">
        <v>40</v>
      </c>
    </row>
    <row r="83" spans="2:6" x14ac:dyDescent="0.2">
      <c r="B83" s="4">
        <v>44199</v>
      </c>
      <c r="C83" t="str">
        <v>P0004</v>
      </c>
      <c r="D83">
        <v>5</v>
      </c>
      <c r="E83" t="str">
        <v>Direct Sales</v>
      </c>
      <c r="F83">
        <v>40</v>
      </c>
    </row>
    <row r="84" spans="2:6" x14ac:dyDescent="0.2">
      <c r="B84" s="4">
        <v>44199</v>
      </c>
      <c r="C84" t="str">
        <v>P0004</v>
      </c>
      <c r="D84">
        <v>5</v>
      </c>
      <c r="E84" t="str">
        <v>Direct Sales</v>
      </c>
      <c r="F84">
        <v>40</v>
      </c>
    </row>
    <row r="85" spans="2:6" x14ac:dyDescent="0.2">
      <c r="B85" s="4">
        <v>44199</v>
      </c>
      <c r="C85" t="str">
        <v>P0004</v>
      </c>
      <c r="D85">
        <v>5</v>
      </c>
      <c r="E85" t="str">
        <v>Direct Sales</v>
      </c>
      <c r="F85">
        <v>40</v>
      </c>
    </row>
    <row r="86" spans="2:6" x14ac:dyDescent="0.2">
      <c r="B86" s="4">
        <v>44198</v>
      </c>
      <c r="C86" t="str">
        <v>P0013</v>
      </c>
      <c r="D86">
        <v>6</v>
      </c>
      <c r="E86" t="str">
        <v>Direct Sales</v>
      </c>
      <c r="F86">
        <v>48</v>
      </c>
    </row>
    <row r="87" spans="2:6" x14ac:dyDescent="0.2">
      <c r="B87" s="4">
        <v>44198</v>
      </c>
      <c r="C87" t="str">
        <v>P0013</v>
      </c>
      <c r="D87">
        <v>6</v>
      </c>
      <c r="E87" t="str">
        <v>Direct Sales</v>
      </c>
      <c r="F87">
        <v>48</v>
      </c>
    </row>
    <row r="88" spans="2:6" x14ac:dyDescent="0.2">
      <c r="B88" s="4">
        <v>44198</v>
      </c>
      <c r="C88" t="str">
        <v>P0013</v>
      </c>
      <c r="D88">
        <v>6</v>
      </c>
      <c r="E88" t="str">
        <v>Direct Sales</v>
      </c>
      <c r="F88">
        <v>48</v>
      </c>
    </row>
    <row r="89" spans="2:6" x14ac:dyDescent="0.2">
      <c r="B89" s="4">
        <v>44198</v>
      </c>
      <c r="C89" t="str">
        <v>P0013</v>
      </c>
      <c r="D89">
        <v>6</v>
      </c>
      <c r="E89" t="str">
        <v>Direct Sales</v>
      </c>
      <c r="F89">
        <v>48</v>
      </c>
    </row>
    <row r="90" spans="2:6" x14ac:dyDescent="0.2">
      <c r="B90" s="4">
        <v>44205</v>
      </c>
      <c r="C90" t="str">
        <v>P0025</v>
      </c>
      <c r="D90">
        <v>4</v>
      </c>
      <c r="E90" t="str">
        <v>Direct Sales</v>
      </c>
      <c r="F90">
        <v>32</v>
      </c>
    </row>
    <row r="91" spans="2:6" x14ac:dyDescent="0.2">
      <c r="B91" s="4">
        <v>44205</v>
      </c>
      <c r="C91" t="str">
        <v>P0025</v>
      </c>
      <c r="D91">
        <v>4</v>
      </c>
      <c r="E91" t="str">
        <v>Direct Sales</v>
      </c>
      <c r="F91">
        <v>32</v>
      </c>
    </row>
    <row r="92" spans="2:6" x14ac:dyDescent="0.2">
      <c r="B92" s="4">
        <v>44205</v>
      </c>
      <c r="C92" t="str">
        <v>P0025</v>
      </c>
      <c r="D92">
        <v>4</v>
      </c>
      <c r="E92" t="str">
        <v>Direct Sales</v>
      </c>
      <c r="F92">
        <v>32</v>
      </c>
    </row>
    <row r="93" spans="2:6" x14ac:dyDescent="0.2">
      <c r="B93" s="4">
        <v>44205</v>
      </c>
      <c r="C93" t="str">
        <v>P0025</v>
      </c>
      <c r="D93">
        <v>4</v>
      </c>
      <c r="E93" t="str">
        <v>Direct Sales</v>
      </c>
      <c r="F93">
        <v>32</v>
      </c>
    </row>
    <row r="94" spans="2:6" x14ac:dyDescent="0.2">
      <c r="B94" s="4">
        <v>44205</v>
      </c>
      <c r="C94" t="str">
        <v>P0031</v>
      </c>
      <c r="D94">
        <v>1</v>
      </c>
      <c r="E94" t="str">
        <v>Direct Sales</v>
      </c>
      <c r="F94">
        <v>8</v>
      </c>
    </row>
    <row r="95" spans="2:6" x14ac:dyDescent="0.2">
      <c r="B95" s="4">
        <v>44205</v>
      </c>
      <c r="C95" t="str">
        <v>P0031</v>
      </c>
      <c r="D95">
        <v>1</v>
      </c>
      <c r="E95" t="str">
        <v>Direct Sales</v>
      </c>
      <c r="F95">
        <v>8</v>
      </c>
    </row>
    <row r="96" spans="2:6" x14ac:dyDescent="0.2">
      <c r="B96" s="4">
        <v>44205</v>
      </c>
      <c r="C96" t="str">
        <v>P0031</v>
      </c>
      <c r="D96">
        <v>1</v>
      </c>
      <c r="E96" t="str">
        <v>Direct Sales</v>
      </c>
      <c r="F96">
        <v>8</v>
      </c>
    </row>
    <row r="97" spans="2:6" x14ac:dyDescent="0.2">
      <c r="B97" s="4">
        <v>44205</v>
      </c>
      <c r="C97" t="str">
        <v>P0031</v>
      </c>
      <c r="D97">
        <v>1</v>
      </c>
      <c r="E97" t="str">
        <v>Direct Sales</v>
      </c>
      <c r="F97">
        <v>8</v>
      </c>
    </row>
    <row r="98" spans="2:6" x14ac:dyDescent="0.2">
      <c r="B98" s="4">
        <v>44207</v>
      </c>
      <c r="C98" t="str">
        <v>P0037</v>
      </c>
      <c r="D98">
        <v>3</v>
      </c>
      <c r="E98" t="str">
        <v>Direct Sales</v>
      </c>
      <c r="F98">
        <v>24</v>
      </c>
    </row>
    <row r="99" spans="2:6" x14ac:dyDescent="0.2">
      <c r="B99" s="4">
        <v>44207</v>
      </c>
      <c r="C99" t="str">
        <v>P0037</v>
      </c>
      <c r="D99">
        <v>3</v>
      </c>
      <c r="E99" t="str">
        <v>Direct Sales</v>
      </c>
      <c r="F99">
        <v>24</v>
      </c>
    </row>
    <row r="100" spans="2:6" x14ac:dyDescent="0.2">
      <c r="B100" s="4">
        <v>44207</v>
      </c>
      <c r="C100" t="str">
        <v>P0037</v>
      </c>
      <c r="D100">
        <v>3</v>
      </c>
      <c r="E100" t="str">
        <v>Direct Sales</v>
      </c>
      <c r="F100">
        <v>24</v>
      </c>
    </row>
    <row r="101" spans="2:6" x14ac:dyDescent="0.2">
      <c r="B101" s="4">
        <v>44207</v>
      </c>
      <c r="C101" t="str">
        <v>P0037</v>
      </c>
      <c r="D101">
        <v>3</v>
      </c>
      <c r="E101" t="str">
        <v>Direct Sales</v>
      </c>
      <c r="F101">
        <v>24</v>
      </c>
    </row>
    <row r="102" spans="2:6" x14ac:dyDescent="0.2">
      <c r="B102" s="4">
        <v>44207</v>
      </c>
      <c r="C102" t="str">
        <v>P0042</v>
      </c>
      <c r="D102">
        <v>4</v>
      </c>
      <c r="E102" t="str">
        <v>Direct Sales</v>
      </c>
      <c r="F102">
        <v>32</v>
      </c>
    </row>
    <row r="103" spans="2:6" x14ac:dyDescent="0.2">
      <c r="B103" s="4">
        <v>44207</v>
      </c>
      <c r="C103" t="str">
        <v>P0042</v>
      </c>
      <c r="D103">
        <v>4</v>
      </c>
      <c r="E103" t="str">
        <v>Direct Sales</v>
      </c>
      <c r="F103">
        <v>32</v>
      </c>
    </row>
    <row r="104" spans="2:6" x14ac:dyDescent="0.2">
      <c r="B104" s="4">
        <v>44207</v>
      </c>
      <c r="C104" t="str">
        <v>P0042</v>
      </c>
      <c r="D104">
        <v>4</v>
      </c>
      <c r="E104" t="str">
        <v>Direct Sales</v>
      </c>
      <c r="F104">
        <v>32</v>
      </c>
    </row>
    <row r="105" spans="2:6" x14ac:dyDescent="0.2">
      <c r="B105" s="4">
        <v>44207</v>
      </c>
      <c r="C105" t="str">
        <v>P0042</v>
      </c>
      <c r="D105">
        <v>4</v>
      </c>
      <c r="E105" t="str">
        <v>Direct Sales</v>
      </c>
      <c r="F105">
        <v>32</v>
      </c>
    </row>
    <row r="106" spans="2:6" x14ac:dyDescent="0.2">
      <c r="B106" s="4">
        <v>44214</v>
      </c>
      <c r="C106" t="str">
        <v>P0044</v>
      </c>
      <c r="D106">
        <v>13</v>
      </c>
      <c r="E106" t="str">
        <v>Direct Sales</v>
      </c>
      <c r="F106">
        <v>104</v>
      </c>
    </row>
    <row r="107" spans="2:6" x14ac:dyDescent="0.2">
      <c r="B107" s="4">
        <v>44214</v>
      </c>
      <c r="C107" t="str">
        <v>P0044</v>
      </c>
      <c r="D107">
        <v>13</v>
      </c>
      <c r="E107" t="str">
        <v>Direct Sales</v>
      </c>
      <c r="F107">
        <v>104</v>
      </c>
    </row>
    <row r="108" spans="2:6" x14ac:dyDescent="0.2">
      <c r="B108" s="4">
        <v>44214</v>
      </c>
      <c r="C108" t="str">
        <v>P0044</v>
      </c>
      <c r="D108">
        <v>13</v>
      </c>
      <c r="E108" t="str">
        <v>Direct Sales</v>
      </c>
      <c r="F108">
        <v>104</v>
      </c>
    </row>
    <row r="109" spans="2:6" x14ac:dyDescent="0.2">
      <c r="B109" s="4">
        <v>44214</v>
      </c>
      <c r="C109" t="str">
        <v>P0044</v>
      </c>
      <c r="D109">
        <v>13</v>
      </c>
      <c r="E109" t="str">
        <v>Direct Sales</v>
      </c>
      <c r="F109">
        <v>104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88EC-762C-CF4A-AD12-9BDA5D74A1D2}">
  <dimension ref="A4:K117"/>
  <sheetViews>
    <sheetView topLeftCell="A63" zoomScale="176" zoomScaleNormal="393" workbookViewId="0">
      <selection activeCell="E67" sqref="E67"/>
    </sheetView>
  </sheetViews>
  <sheetFormatPr baseColWidth="10" defaultRowHeight="16" x14ac:dyDescent="0.2"/>
  <cols>
    <col min="8" max="8" width="10.83203125" style="5"/>
  </cols>
  <sheetData>
    <row r="4" spans="2:11" x14ac:dyDescent="0.2">
      <c r="B4" t="str">
        <f>"&lt;sheetname&gt;!&lt;tl&gt;:&lt;br&gt;"</f>
        <v>&lt;sheetname&gt;!&lt;tl&gt;:&lt;br&gt;</v>
      </c>
      <c r="K4">
        <f>prod[[#This Row],[QUANTITY]]</f>
        <v>4</v>
      </c>
    </row>
    <row r="5" spans="2:11" x14ac:dyDescent="0.2">
      <c r="E5" cm="1">
        <f t="array" ref="E5:F11">product!C7:D13</f>
        <v>9</v>
      </c>
      <c r="F5" t="str">
        <v>Wholesaler</v>
      </c>
      <c r="H5" s="5" t="s">
        <v>33</v>
      </c>
      <c r="I5" t="s">
        <v>34</v>
      </c>
    </row>
    <row r="6" spans="2:11" x14ac:dyDescent="0.2">
      <c r="E6">
        <v>9</v>
      </c>
      <c r="F6" t="str">
        <v>Wholesaler</v>
      </c>
    </row>
    <row r="7" spans="2:11" x14ac:dyDescent="0.2">
      <c r="B7" t="s">
        <v>33</v>
      </c>
      <c r="C7" t="s">
        <v>34</v>
      </c>
      <c r="E7">
        <v>9</v>
      </c>
      <c r="F7" t="str">
        <v>Wholesaler</v>
      </c>
    </row>
    <row r="8" spans="2:11" x14ac:dyDescent="0.2">
      <c r="E8">
        <v>12</v>
      </c>
      <c r="F8" t="str">
        <v>Online</v>
      </c>
    </row>
    <row r="9" spans="2:11" x14ac:dyDescent="0.2">
      <c r="E9">
        <v>12</v>
      </c>
      <c r="F9" t="str">
        <v>Online</v>
      </c>
    </row>
    <row r="10" spans="2:11" x14ac:dyDescent="0.2">
      <c r="E10">
        <v>12</v>
      </c>
      <c r="F10" t="str">
        <v>Online</v>
      </c>
    </row>
    <row r="11" spans="2:11" x14ac:dyDescent="0.2">
      <c r="E11">
        <v>12</v>
      </c>
      <c r="F11" t="str">
        <v>Online</v>
      </c>
    </row>
    <row r="16" spans="2:11" x14ac:dyDescent="0.2">
      <c r="H16" s="5">
        <f>prod[[#This Row],[QUANTITY]]</f>
        <v>15</v>
      </c>
    </row>
    <row r="28" spans="1:6" x14ac:dyDescent="0.2">
      <c r="A28" t="s">
        <v>28</v>
      </c>
      <c r="B28" t="s">
        <v>29</v>
      </c>
      <c r="C28" t="s">
        <v>30</v>
      </c>
      <c r="D28" t="s">
        <v>31</v>
      </c>
      <c r="E28" t="s">
        <v>32</v>
      </c>
      <c r="F28" t="s">
        <v>32</v>
      </c>
    </row>
    <row r="29" spans="1:6" x14ac:dyDescent="0.2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</row>
    <row r="30" spans="1:6" x14ac:dyDescent="0.2">
      <c r="A30">
        <v>2</v>
      </c>
      <c r="B30">
        <v>2</v>
      </c>
      <c r="C30">
        <v>2</v>
      </c>
      <c r="D30">
        <v>2</v>
      </c>
      <c r="E30">
        <v>2</v>
      </c>
      <c r="F30">
        <v>2</v>
      </c>
    </row>
    <row r="31" spans="1:6" x14ac:dyDescent="0.2">
      <c r="A31">
        <v>3</v>
      </c>
      <c r="B31">
        <v>3</v>
      </c>
      <c r="C31">
        <v>3</v>
      </c>
      <c r="D31">
        <v>3</v>
      </c>
      <c r="E31">
        <v>3</v>
      </c>
      <c r="F31">
        <v>3</v>
      </c>
    </row>
    <row r="32" spans="1:6" x14ac:dyDescent="0.2">
      <c r="A32">
        <v>40</v>
      </c>
      <c r="B32">
        <v>4</v>
      </c>
      <c r="C32">
        <v>40</v>
      </c>
      <c r="D32">
        <v>4</v>
      </c>
      <c r="E32">
        <v>40</v>
      </c>
      <c r="F32">
        <v>4</v>
      </c>
    </row>
    <row r="33" spans="1:6" x14ac:dyDescent="0.2">
      <c r="A33">
        <v>5</v>
      </c>
      <c r="B33">
        <v>5</v>
      </c>
      <c r="C33">
        <v>5</v>
      </c>
      <c r="D33">
        <v>5</v>
      </c>
      <c r="E33">
        <v>5</v>
      </c>
      <c r="F33">
        <v>5</v>
      </c>
    </row>
    <row r="34" spans="1:6" x14ac:dyDescent="0.2">
      <c r="A34">
        <v>6</v>
      </c>
      <c r="B34">
        <v>6</v>
      </c>
      <c r="C34">
        <v>6</v>
      </c>
      <c r="D34">
        <v>6</v>
      </c>
      <c r="E34">
        <v>6</v>
      </c>
      <c r="F34">
        <v>6</v>
      </c>
    </row>
    <row r="35" spans="1:6" x14ac:dyDescent="0.2">
      <c r="A35">
        <v>1</v>
      </c>
      <c r="B35">
        <v>1</v>
      </c>
      <c r="C35">
        <v>1</v>
      </c>
      <c r="D35">
        <v>1</v>
      </c>
      <c r="E35">
        <v>1</v>
      </c>
      <c r="F35">
        <v>1</v>
      </c>
    </row>
    <row r="36" spans="1:6" x14ac:dyDescent="0.2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</row>
    <row r="37" spans="1:6" x14ac:dyDescent="0.2">
      <c r="A37">
        <v>3</v>
      </c>
      <c r="B37">
        <v>3</v>
      </c>
      <c r="C37">
        <v>3</v>
      </c>
      <c r="D37">
        <v>3</v>
      </c>
      <c r="E37">
        <v>3</v>
      </c>
      <c r="F37">
        <v>3</v>
      </c>
    </row>
    <row r="38" spans="1:6" x14ac:dyDescent="0.2">
      <c r="A38">
        <v>40</v>
      </c>
      <c r="B38">
        <v>4</v>
      </c>
      <c r="C38">
        <v>40</v>
      </c>
      <c r="D38">
        <v>4</v>
      </c>
      <c r="E38">
        <v>40</v>
      </c>
      <c r="F38">
        <v>4</v>
      </c>
    </row>
    <row r="39" spans="1:6" x14ac:dyDescent="0.2">
      <c r="A39">
        <v>5</v>
      </c>
      <c r="B39">
        <v>5</v>
      </c>
      <c r="C39">
        <v>5</v>
      </c>
      <c r="D39">
        <v>5</v>
      </c>
      <c r="E39">
        <v>5</v>
      </c>
      <c r="F39">
        <v>5</v>
      </c>
    </row>
    <row r="40" spans="1:6" x14ac:dyDescent="0.2">
      <c r="A40">
        <v>6</v>
      </c>
      <c r="B40">
        <v>6</v>
      </c>
      <c r="C40">
        <v>6</v>
      </c>
      <c r="D40">
        <v>6</v>
      </c>
      <c r="E40">
        <v>6</v>
      </c>
      <c r="F40">
        <v>6</v>
      </c>
    </row>
    <row r="56" spans="1:9" x14ac:dyDescent="0.2">
      <c r="A56" cm="1">
        <f t="array" ref="A56:E107">prod[]</f>
        <v>44207</v>
      </c>
      <c r="B56" t="str">
        <v>P0014</v>
      </c>
      <c r="C56">
        <v>4</v>
      </c>
      <c r="D56" t="str">
        <v>Wholesaler</v>
      </c>
      <c r="E56">
        <v>32</v>
      </c>
    </row>
    <row r="57" spans="1:9" x14ac:dyDescent="0.2">
      <c r="A57">
        <v>44207</v>
      </c>
      <c r="B57" t="str">
        <v>P0014</v>
      </c>
      <c r="C57" s="4">
        <v>4</v>
      </c>
      <c r="D57" t="str">
        <v>Wholesaler</v>
      </c>
      <c r="E57">
        <v>32</v>
      </c>
    </row>
    <row r="58" spans="1:9" x14ac:dyDescent="0.2">
      <c r="A58">
        <v>44207</v>
      </c>
      <c r="B58" t="str">
        <v>P0014</v>
      </c>
      <c r="C58">
        <v>4</v>
      </c>
      <c r="D58" t="str">
        <v>Wholesaler</v>
      </c>
      <c r="E58">
        <v>32</v>
      </c>
    </row>
    <row r="59" spans="1:9" x14ac:dyDescent="0.2">
      <c r="A59">
        <v>44207</v>
      </c>
      <c r="B59" t="str">
        <v>P0014</v>
      </c>
      <c r="C59">
        <v>4</v>
      </c>
      <c r="D59" t="str">
        <v>Wholesaler</v>
      </c>
      <c r="E59">
        <v>32</v>
      </c>
    </row>
    <row r="60" spans="1:9" x14ac:dyDescent="0.2">
      <c r="A60">
        <v>44197</v>
      </c>
      <c r="B60" t="str">
        <v>P0024</v>
      </c>
      <c r="C60">
        <v>9</v>
      </c>
      <c r="D60" t="str">
        <v>Wholesaler</v>
      </c>
      <c r="E60">
        <v>72</v>
      </c>
    </row>
    <row r="61" spans="1:9" x14ac:dyDescent="0.2">
      <c r="A61">
        <v>44197</v>
      </c>
      <c r="B61" t="str">
        <v>P0024</v>
      </c>
      <c r="C61">
        <v>9</v>
      </c>
      <c r="D61" t="str">
        <v>Wholesaler</v>
      </c>
      <c r="E61">
        <v>72</v>
      </c>
    </row>
    <row r="62" spans="1:9" x14ac:dyDescent="0.2">
      <c r="A62">
        <v>44197</v>
      </c>
      <c r="B62" t="str">
        <v>P0024</v>
      </c>
      <c r="C62">
        <v>9</v>
      </c>
      <c r="D62" t="str">
        <v>Wholesaler</v>
      </c>
      <c r="E62">
        <v>72</v>
      </c>
    </row>
    <row r="63" spans="1:9" x14ac:dyDescent="0.2">
      <c r="A63">
        <v>44197</v>
      </c>
      <c r="B63" t="str">
        <v>P0024</v>
      </c>
      <c r="C63">
        <v>9</v>
      </c>
      <c r="D63" t="str">
        <v>Wholesaler</v>
      </c>
      <c r="E63">
        <v>72</v>
      </c>
      <c r="I63" s="5"/>
    </row>
    <row r="64" spans="1:9" x14ac:dyDescent="0.2">
      <c r="A64">
        <v>44200</v>
      </c>
      <c r="B64" t="str">
        <v>P0035</v>
      </c>
      <c r="C64">
        <v>12</v>
      </c>
      <c r="D64" t="str">
        <v>Online</v>
      </c>
      <c r="E64">
        <v>96</v>
      </c>
    </row>
    <row r="65" spans="1:5" x14ac:dyDescent="0.2">
      <c r="A65">
        <v>44200</v>
      </c>
      <c r="B65" t="str">
        <v>P0035</v>
      </c>
      <c r="C65">
        <v>12</v>
      </c>
      <c r="D65" t="str">
        <v>Online</v>
      </c>
      <c r="E65">
        <v>96</v>
      </c>
    </row>
    <row r="66" spans="1:5" x14ac:dyDescent="0.2">
      <c r="A66">
        <v>44200</v>
      </c>
      <c r="B66" t="str">
        <v>P0035</v>
      </c>
      <c r="C66">
        <v>12</v>
      </c>
      <c r="D66" t="str">
        <v>Online</v>
      </c>
      <c r="E66">
        <v>96</v>
      </c>
    </row>
    <row r="67" spans="1:5" x14ac:dyDescent="0.2">
      <c r="A67">
        <v>44200</v>
      </c>
      <c r="B67" t="str">
        <v>P0035</v>
      </c>
      <c r="C67">
        <v>12</v>
      </c>
      <c r="D67" t="str">
        <v>Online</v>
      </c>
      <c r="E67">
        <v>96</v>
      </c>
    </row>
    <row r="68" spans="1:5" x14ac:dyDescent="0.2">
      <c r="A68">
        <v>44198</v>
      </c>
      <c r="B68" t="str">
        <v>P0038</v>
      </c>
      <c r="C68">
        <v>15</v>
      </c>
      <c r="D68" t="str">
        <v>Online</v>
      </c>
      <c r="E68">
        <v>120</v>
      </c>
    </row>
    <row r="69" spans="1:5" x14ac:dyDescent="0.2">
      <c r="A69">
        <v>44198</v>
      </c>
      <c r="B69" t="str">
        <v>P0038</v>
      </c>
      <c r="C69">
        <v>15</v>
      </c>
      <c r="D69" t="str">
        <v>Online</v>
      </c>
      <c r="E69">
        <v>120</v>
      </c>
    </row>
    <row r="70" spans="1:5" x14ac:dyDescent="0.2">
      <c r="A70">
        <v>44198</v>
      </c>
      <c r="B70" t="str">
        <v>P0038</v>
      </c>
      <c r="C70">
        <v>15</v>
      </c>
      <c r="D70" t="str">
        <v>Online</v>
      </c>
      <c r="E70">
        <v>120</v>
      </c>
    </row>
    <row r="71" spans="1:5" x14ac:dyDescent="0.2">
      <c r="A71">
        <v>44198</v>
      </c>
      <c r="B71" t="str">
        <v>P0038</v>
      </c>
      <c r="C71">
        <v>15</v>
      </c>
      <c r="D71" t="str">
        <v>Online</v>
      </c>
      <c r="E71">
        <v>120</v>
      </c>
    </row>
    <row r="72" spans="1:5" x14ac:dyDescent="0.2">
      <c r="A72">
        <v>44208</v>
      </c>
      <c r="B72" t="str">
        <v>P0042</v>
      </c>
      <c r="C72">
        <v>10</v>
      </c>
      <c r="D72" t="str">
        <v>Online</v>
      </c>
      <c r="E72">
        <v>80</v>
      </c>
    </row>
    <row r="73" spans="1:5" x14ac:dyDescent="0.2">
      <c r="A73">
        <v>44208</v>
      </c>
      <c r="B73" t="str">
        <v>P0042</v>
      </c>
      <c r="C73">
        <v>10</v>
      </c>
      <c r="D73" t="str">
        <v>Online</v>
      </c>
      <c r="E73">
        <v>80</v>
      </c>
    </row>
    <row r="74" spans="1:5" x14ac:dyDescent="0.2">
      <c r="A74">
        <v>44208</v>
      </c>
      <c r="B74" t="str">
        <v>P0042</v>
      </c>
      <c r="C74">
        <v>10</v>
      </c>
      <c r="D74" t="str">
        <v>Online</v>
      </c>
      <c r="E74">
        <v>80</v>
      </c>
    </row>
    <row r="75" spans="1:5" x14ac:dyDescent="0.2">
      <c r="A75">
        <v>44208</v>
      </c>
      <c r="B75" t="str">
        <v>P0042</v>
      </c>
      <c r="C75">
        <v>10</v>
      </c>
      <c r="D75" t="str">
        <v>Online</v>
      </c>
      <c r="E75">
        <v>80</v>
      </c>
    </row>
    <row r="76" spans="1:5" x14ac:dyDescent="0.2">
      <c r="A76">
        <v>44205</v>
      </c>
      <c r="B76" t="str">
        <v>P0003</v>
      </c>
      <c r="C76">
        <v>8</v>
      </c>
      <c r="D76" t="str">
        <v>Direct Sales</v>
      </c>
      <c r="E76">
        <v>64</v>
      </c>
    </row>
    <row r="77" spans="1:5" x14ac:dyDescent="0.2">
      <c r="A77">
        <v>44205</v>
      </c>
      <c r="B77" t="str">
        <v>P0003</v>
      </c>
      <c r="C77">
        <v>8</v>
      </c>
      <c r="D77" t="str">
        <v>Direct Sales</v>
      </c>
      <c r="E77">
        <v>64</v>
      </c>
    </row>
    <row r="78" spans="1:5" x14ac:dyDescent="0.2">
      <c r="A78">
        <v>44205</v>
      </c>
      <c r="B78" t="str">
        <v>P0003</v>
      </c>
      <c r="C78">
        <v>8</v>
      </c>
      <c r="D78" t="str">
        <v>Direct Sales</v>
      </c>
      <c r="E78">
        <v>64</v>
      </c>
    </row>
    <row r="79" spans="1:5" x14ac:dyDescent="0.2">
      <c r="A79">
        <v>44205</v>
      </c>
      <c r="B79" t="str">
        <v>P0003</v>
      </c>
      <c r="C79">
        <v>8</v>
      </c>
      <c r="D79" t="str">
        <v>Direct Sales</v>
      </c>
      <c r="E79">
        <v>64</v>
      </c>
    </row>
    <row r="80" spans="1:5" x14ac:dyDescent="0.2">
      <c r="A80">
        <v>44199</v>
      </c>
      <c r="B80" t="str">
        <v>P0004</v>
      </c>
      <c r="C80">
        <v>5</v>
      </c>
      <c r="D80" t="str">
        <v>Direct Sales</v>
      </c>
      <c r="E80">
        <v>40</v>
      </c>
    </row>
    <row r="81" spans="1:5" x14ac:dyDescent="0.2">
      <c r="A81">
        <v>44199</v>
      </c>
      <c r="B81" t="str">
        <v>P0004</v>
      </c>
      <c r="C81">
        <v>5</v>
      </c>
      <c r="D81" t="str">
        <v>Direct Sales</v>
      </c>
      <c r="E81">
        <v>40</v>
      </c>
    </row>
    <row r="82" spans="1:5" x14ac:dyDescent="0.2">
      <c r="A82">
        <v>44199</v>
      </c>
      <c r="B82" t="str">
        <v>P0004</v>
      </c>
      <c r="C82">
        <v>5</v>
      </c>
      <c r="D82" t="str">
        <v>Direct Sales</v>
      </c>
      <c r="E82">
        <v>40</v>
      </c>
    </row>
    <row r="83" spans="1:5" x14ac:dyDescent="0.2">
      <c r="A83">
        <v>44199</v>
      </c>
      <c r="B83" t="str">
        <v>P0004</v>
      </c>
      <c r="C83">
        <v>5</v>
      </c>
      <c r="D83" t="str">
        <v>Direct Sales</v>
      </c>
      <c r="E83">
        <v>40</v>
      </c>
    </row>
    <row r="84" spans="1:5" x14ac:dyDescent="0.2">
      <c r="A84">
        <v>44198</v>
      </c>
      <c r="B84" t="str">
        <v>P0013</v>
      </c>
      <c r="C84">
        <v>6</v>
      </c>
      <c r="D84" t="str">
        <v>Direct Sales</v>
      </c>
      <c r="E84">
        <v>48</v>
      </c>
    </row>
    <row r="85" spans="1:5" x14ac:dyDescent="0.2">
      <c r="A85">
        <v>44198</v>
      </c>
      <c r="B85" t="str">
        <v>P0013</v>
      </c>
      <c r="C85">
        <v>6</v>
      </c>
      <c r="D85" t="str">
        <v>Direct Sales</v>
      </c>
      <c r="E85">
        <v>48</v>
      </c>
    </row>
    <row r="86" spans="1:5" x14ac:dyDescent="0.2">
      <c r="A86">
        <v>44198</v>
      </c>
      <c r="B86" t="str">
        <v>P0013</v>
      </c>
      <c r="C86">
        <v>6</v>
      </c>
      <c r="D86" t="str">
        <v>Direct Sales</v>
      </c>
      <c r="E86">
        <v>48</v>
      </c>
    </row>
    <row r="87" spans="1:5" x14ac:dyDescent="0.2">
      <c r="A87">
        <v>44198</v>
      </c>
      <c r="B87" t="str">
        <v>P0013</v>
      </c>
      <c r="C87">
        <v>6</v>
      </c>
      <c r="D87" t="str">
        <v>Direct Sales</v>
      </c>
      <c r="E87">
        <v>48</v>
      </c>
    </row>
    <row r="88" spans="1:5" x14ac:dyDescent="0.2">
      <c r="A88">
        <v>44205</v>
      </c>
      <c r="B88" t="str">
        <v>P0025</v>
      </c>
      <c r="C88">
        <v>4</v>
      </c>
      <c r="D88" t="str">
        <v>Direct Sales</v>
      </c>
      <c r="E88">
        <v>32</v>
      </c>
    </row>
    <row r="89" spans="1:5" x14ac:dyDescent="0.2">
      <c r="A89">
        <v>44205</v>
      </c>
      <c r="B89" t="str">
        <v>P0025</v>
      </c>
      <c r="C89">
        <v>4</v>
      </c>
      <c r="D89" t="str">
        <v>Direct Sales</v>
      </c>
      <c r="E89">
        <v>32</v>
      </c>
    </row>
    <row r="90" spans="1:5" x14ac:dyDescent="0.2">
      <c r="A90">
        <v>44205</v>
      </c>
      <c r="B90" t="str">
        <v>P0025</v>
      </c>
      <c r="C90">
        <v>4</v>
      </c>
      <c r="D90" t="str">
        <v>Direct Sales</v>
      </c>
      <c r="E90">
        <v>32</v>
      </c>
    </row>
    <row r="91" spans="1:5" x14ac:dyDescent="0.2">
      <c r="A91">
        <v>44205</v>
      </c>
      <c r="B91" t="str">
        <v>P0025</v>
      </c>
      <c r="C91">
        <v>4</v>
      </c>
      <c r="D91" t="str">
        <v>Direct Sales</v>
      </c>
      <c r="E91">
        <v>32</v>
      </c>
    </row>
    <row r="92" spans="1:5" x14ac:dyDescent="0.2">
      <c r="A92">
        <v>44205</v>
      </c>
      <c r="B92" t="str">
        <v>P0031</v>
      </c>
      <c r="C92">
        <v>1</v>
      </c>
      <c r="D92" t="str">
        <v>Direct Sales</v>
      </c>
      <c r="E92">
        <v>8</v>
      </c>
    </row>
    <row r="93" spans="1:5" x14ac:dyDescent="0.2">
      <c r="A93">
        <v>44205</v>
      </c>
      <c r="B93" t="str">
        <v>P0031</v>
      </c>
      <c r="C93">
        <v>1</v>
      </c>
      <c r="D93" t="str">
        <v>Direct Sales</v>
      </c>
      <c r="E93">
        <v>8</v>
      </c>
    </row>
    <row r="94" spans="1:5" x14ac:dyDescent="0.2">
      <c r="A94">
        <v>44205</v>
      </c>
      <c r="B94" t="str">
        <v>P0031</v>
      </c>
      <c r="C94">
        <v>1</v>
      </c>
      <c r="D94" t="str">
        <v>Direct Sales</v>
      </c>
      <c r="E94">
        <v>8</v>
      </c>
    </row>
    <row r="95" spans="1:5" x14ac:dyDescent="0.2">
      <c r="A95">
        <v>44205</v>
      </c>
      <c r="B95" t="str">
        <v>P0031</v>
      </c>
      <c r="C95">
        <v>1</v>
      </c>
      <c r="D95" t="str">
        <v>Direct Sales</v>
      </c>
      <c r="E95">
        <v>8</v>
      </c>
    </row>
    <row r="96" spans="1:5" x14ac:dyDescent="0.2">
      <c r="A96">
        <v>44207</v>
      </c>
      <c r="B96" t="str">
        <v>P0037</v>
      </c>
      <c r="C96">
        <v>3</v>
      </c>
      <c r="D96" t="str">
        <v>Direct Sales</v>
      </c>
      <c r="E96">
        <v>24</v>
      </c>
    </row>
    <row r="97" spans="1:6" x14ac:dyDescent="0.2">
      <c r="A97">
        <v>44207</v>
      </c>
      <c r="B97" t="str">
        <v>P0037</v>
      </c>
      <c r="C97">
        <v>3</v>
      </c>
      <c r="D97" t="str">
        <v>Direct Sales</v>
      </c>
      <c r="E97">
        <v>24</v>
      </c>
    </row>
    <row r="98" spans="1:6" x14ac:dyDescent="0.2">
      <c r="A98">
        <v>44207</v>
      </c>
      <c r="B98" t="str">
        <v>P0037</v>
      </c>
      <c r="C98">
        <v>3</v>
      </c>
      <c r="D98" t="str">
        <v>Direct Sales</v>
      </c>
      <c r="E98">
        <v>24</v>
      </c>
    </row>
    <row r="99" spans="1:6" x14ac:dyDescent="0.2">
      <c r="A99">
        <v>44207</v>
      </c>
      <c r="B99" t="str">
        <v>P0037</v>
      </c>
      <c r="C99">
        <v>3</v>
      </c>
      <c r="D99" t="str">
        <v>Direct Sales</v>
      </c>
      <c r="E99">
        <v>24</v>
      </c>
    </row>
    <row r="100" spans="1:6" x14ac:dyDescent="0.2">
      <c r="A100">
        <v>44207</v>
      </c>
      <c r="B100" t="str">
        <v>P0042</v>
      </c>
      <c r="C100">
        <v>4</v>
      </c>
      <c r="D100" t="str">
        <v>Direct Sales</v>
      </c>
      <c r="E100">
        <v>32</v>
      </c>
    </row>
    <row r="101" spans="1:6" x14ac:dyDescent="0.2">
      <c r="A101">
        <v>44207</v>
      </c>
      <c r="B101" t="str">
        <v>P0042</v>
      </c>
      <c r="C101">
        <v>4</v>
      </c>
      <c r="D101" t="str">
        <v>Direct Sales</v>
      </c>
      <c r="E101">
        <v>32</v>
      </c>
    </row>
    <row r="102" spans="1:6" x14ac:dyDescent="0.2">
      <c r="A102">
        <v>44207</v>
      </c>
      <c r="B102" t="str">
        <v>P0042</v>
      </c>
      <c r="C102">
        <v>4</v>
      </c>
      <c r="D102" t="str">
        <v>Direct Sales</v>
      </c>
      <c r="E102">
        <v>32</v>
      </c>
    </row>
    <row r="103" spans="1:6" x14ac:dyDescent="0.2">
      <c r="A103">
        <v>44207</v>
      </c>
      <c r="B103" t="str">
        <v>P0042</v>
      </c>
      <c r="C103">
        <v>4</v>
      </c>
      <c r="D103" t="str">
        <v>Direct Sales</v>
      </c>
      <c r="E103">
        <v>32</v>
      </c>
    </row>
    <row r="104" spans="1:6" x14ac:dyDescent="0.2">
      <c r="A104">
        <v>44214</v>
      </c>
      <c r="B104" t="str">
        <v>P0044</v>
      </c>
      <c r="C104">
        <v>13</v>
      </c>
      <c r="D104" t="str">
        <v>Direct Sales</v>
      </c>
      <c r="E104">
        <v>104</v>
      </c>
    </row>
    <row r="105" spans="1:6" x14ac:dyDescent="0.2">
      <c r="A105">
        <v>44214</v>
      </c>
      <c r="B105" t="str">
        <v>P0044</v>
      </c>
      <c r="C105">
        <v>13</v>
      </c>
      <c r="D105" t="str">
        <v>Direct Sales</v>
      </c>
      <c r="E105">
        <v>104</v>
      </c>
    </row>
    <row r="106" spans="1:6" x14ac:dyDescent="0.2">
      <c r="A106">
        <v>44214</v>
      </c>
      <c r="B106" t="str">
        <v>P0044</v>
      </c>
      <c r="C106">
        <v>13</v>
      </c>
      <c r="D106" t="str">
        <v>Direct Sales</v>
      </c>
      <c r="E106">
        <v>104</v>
      </c>
    </row>
    <row r="107" spans="1:6" x14ac:dyDescent="0.2">
      <c r="A107">
        <v>44214</v>
      </c>
      <c r="B107" t="str">
        <v>P0044</v>
      </c>
      <c r="C107">
        <v>13</v>
      </c>
      <c r="D107" t="str">
        <v>Direct Sales</v>
      </c>
      <c r="E107">
        <v>104</v>
      </c>
    </row>
    <row r="111" spans="1:6" x14ac:dyDescent="0.2">
      <c r="B111" s="8">
        <v>44205</v>
      </c>
      <c r="C111" s="9" t="s">
        <v>12</v>
      </c>
      <c r="D111" s="9"/>
      <c r="E111" s="9" t="s">
        <v>9</v>
      </c>
      <c r="F111" s="10"/>
    </row>
    <row r="112" spans="1:6" x14ac:dyDescent="0.2">
      <c r="B112" s="11">
        <v>44205</v>
      </c>
      <c r="C112" s="12" t="s">
        <v>12</v>
      </c>
      <c r="D112" s="12">
        <v>1</v>
      </c>
      <c r="E112" s="12" t="s">
        <v>9</v>
      </c>
      <c r="F112" s="13"/>
    </row>
    <row r="113" spans="2:6" x14ac:dyDescent="0.2">
      <c r="B113" s="8">
        <v>44205</v>
      </c>
      <c r="C113" s="9" t="s">
        <v>12</v>
      </c>
      <c r="D113" s="9">
        <v>1</v>
      </c>
      <c r="E113" s="9" t="s">
        <v>9</v>
      </c>
      <c r="F113" s="10"/>
    </row>
    <row r="114" spans="2:6" x14ac:dyDescent="0.2">
      <c r="B114" s="11">
        <v>44205</v>
      </c>
      <c r="C114" s="12" t="s">
        <v>12</v>
      </c>
      <c r="D114" s="12">
        <v>1</v>
      </c>
      <c r="E114" s="12"/>
      <c r="F114" s="13"/>
    </row>
    <row r="115" spans="2:6" x14ac:dyDescent="0.2">
      <c r="B115" s="8">
        <v>44207</v>
      </c>
      <c r="C115" s="9" t="s">
        <v>15</v>
      </c>
      <c r="D115" s="9">
        <v>3</v>
      </c>
      <c r="E115" s="9" t="s">
        <v>9</v>
      </c>
      <c r="F115" s="10"/>
    </row>
    <row r="116" spans="2:6" x14ac:dyDescent="0.2">
      <c r="B116" s="11">
        <v>44207</v>
      </c>
      <c r="C116" s="12" t="s">
        <v>15</v>
      </c>
      <c r="D116" s="12">
        <v>3</v>
      </c>
      <c r="E116" s="12" t="s">
        <v>9</v>
      </c>
      <c r="F116" s="13"/>
    </row>
    <row r="117" spans="2:6" x14ac:dyDescent="0.2">
      <c r="B117" s="8">
        <v>44207</v>
      </c>
      <c r="C117" s="9" t="s">
        <v>15</v>
      </c>
      <c r="D117" s="9">
        <v>3</v>
      </c>
      <c r="E117" s="9" t="s">
        <v>9</v>
      </c>
      <c r="F117" s="10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CF8A9-EB7A-E44E-8BBE-308DCF047432}">
  <dimension ref="A1:L53"/>
  <sheetViews>
    <sheetView tabSelected="1" topLeftCell="A35" zoomScale="186" zoomScaleNormal="294" workbookViewId="0">
      <selection activeCell="H44" sqref="H44"/>
    </sheetView>
  </sheetViews>
  <sheetFormatPr baseColWidth="10" defaultRowHeight="16" x14ac:dyDescent="0.2"/>
  <cols>
    <col min="1" max="1" width="10.83203125" style="4"/>
    <col min="2" max="2" width="11.5" customWidth="1"/>
  </cols>
  <sheetData>
    <row r="1" spans="1:12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33</v>
      </c>
    </row>
    <row r="2" spans="1:12" x14ac:dyDescent="0.2">
      <c r="A2" s="3">
        <v>44207</v>
      </c>
      <c r="B2" s="2" t="s">
        <v>16</v>
      </c>
      <c r="C2" s="2">
        <v>4</v>
      </c>
      <c r="D2" s="2" t="s">
        <v>5</v>
      </c>
      <c r="E2" s="2">
        <f>prod[[#This Row],[QUANTITY]]*8</f>
        <v>32</v>
      </c>
      <c r="G2">
        <f>prod[[#This Row],[QUANTITY]]*10</f>
        <v>40</v>
      </c>
    </row>
    <row r="3" spans="1:12" x14ac:dyDescent="0.2">
      <c r="A3" s="3">
        <v>44207</v>
      </c>
      <c r="B3" s="2" t="s">
        <v>16</v>
      </c>
      <c r="C3" s="2">
        <v>4</v>
      </c>
      <c r="D3" s="2" t="s">
        <v>5</v>
      </c>
      <c r="E3" s="2">
        <f>prod[[#This Row],[QUANTITY]]*8</f>
        <v>32</v>
      </c>
    </row>
    <row r="4" spans="1:12" x14ac:dyDescent="0.2">
      <c r="A4" s="3">
        <v>44207</v>
      </c>
      <c r="B4" s="2" t="s">
        <v>16</v>
      </c>
      <c r="C4" s="2">
        <v>4</v>
      </c>
      <c r="D4" s="2" t="s">
        <v>5</v>
      </c>
      <c r="E4" s="2">
        <f>prod[[#This Row],[QUANTITY]]*8</f>
        <v>32</v>
      </c>
    </row>
    <row r="5" spans="1:12" x14ac:dyDescent="0.2">
      <c r="A5" s="3">
        <v>44207</v>
      </c>
      <c r="B5" s="2" t="s">
        <v>16</v>
      </c>
      <c r="C5" s="2">
        <v>4</v>
      </c>
      <c r="D5" s="2" t="s">
        <v>5</v>
      </c>
      <c r="E5" s="2">
        <f>prod[[#This Row],[QUANTITY]]*8</f>
        <v>32</v>
      </c>
      <c r="F5" t="s">
        <v>19</v>
      </c>
    </row>
    <row r="6" spans="1:12" x14ac:dyDescent="0.2">
      <c r="A6" s="3">
        <v>44197</v>
      </c>
      <c r="B6" s="2" t="s">
        <v>4</v>
      </c>
      <c r="C6" s="2">
        <v>9</v>
      </c>
      <c r="D6" s="2" t="s">
        <v>5</v>
      </c>
      <c r="E6" s="2">
        <f>prod[[#This Row],[QUANTITY]]*8</f>
        <v>72</v>
      </c>
      <c r="I6" s="4">
        <f>prod[[#This Row],[DATE]]</f>
        <v>44197</v>
      </c>
    </row>
    <row r="7" spans="1:12" x14ac:dyDescent="0.2">
      <c r="A7" s="3">
        <v>44197</v>
      </c>
      <c r="B7" s="2" t="s">
        <v>4</v>
      </c>
      <c r="C7" s="2">
        <v>9</v>
      </c>
      <c r="D7" s="2" t="s">
        <v>5</v>
      </c>
      <c r="E7" s="2">
        <f>prod[[#This Row],[QUANTITY]]*8</f>
        <v>72</v>
      </c>
    </row>
    <row r="8" spans="1:12" x14ac:dyDescent="0.2">
      <c r="A8" s="3">
        <v>44197</v>
      </c>
      <c r="B8" s="2" t="s">
        <v>4</v>
      </c>
      <c r="C8" s="2">
        <v>9</v>
      </c>
      <c r="D8" s="2" t="s">
        <v>5</v>
      </c>
      <c r="E8" s="2">
        <f>prod[[#This Row],[QUANTITY]]*8</f>
        <v>72</v>
      </c>
    </row>
    <row r="9" spans="1:12" x14ac:dyDescent="0.2">
      <c r="A9" s="3">
        <v>44197</v>
      </c>
      <c r="B9" s="2" t="s">
        <v>4</v>
      </c>
      <c r="C9" s="2">
        <v>9</v>
      </c>
      <c r="D9" s="2" t="s">
        <v>5</v>
      </c>
      <c r="E9" s="2">
        <f>prod[[#This Row],[QUANTITY]]*8</f>
        <v>72</v>
      </c>
      <c r="G9" s="4">
        <f>prod[[#This Row],[DATE]]</f>
        <v>44197</v>
      </c>
      <c r="L9" s="4"/>
    </row>
    <row r="10" spans="1:12" x14ac:dyDescent="0.2">
      <c r="A10" s="3">
        <v>44200</v>
      </c>
      <c r="B10" s="2" t="s">
        <v>11</v>
      </c>
      <c r="C10" s="2">
        <v>12</v>
      </c>
      <c r="D10" s="2" t="s">
        <v>7</v>
      </c>
      <c r="E10" s="2">
        <f>prod[[#This Row],[QUANTITY]]*8</f>
        <v>96</v>
      </c>
    </row>
    <row r="11" spans="1:12" x14ac:dyDescent="0.2">
      <c r="A11" s="3">
        <v>44200</v>
      </c>
      <c r="B11" s="2" t="s">
        <v>11</v>
      </c>
      <c r="C11" s="2">
        <v>12</v>
      </c>
      <c r="D11" s="2" t="s">
        <v>7</v>
      </c>
      <c r="E11" s="2">
        <f>prod[[#This Row],[QUANTITY]]*8</f>
        <v>96</v>
      </c>
    </row>
    <row r="12" spans="1:12" x14ac:dyDescent="0.2">
      <c r="A12" s="3">
        <v>44200</v>
      </c>
      <c r="B12" s="2" t="s">
        <v>11</v>
      </c>
      <c r="C12" s="2">
        <v>12</v>
      </c>
      <c r="D12" s="2" t="s">
        <v>7</v>
      </c>
      <c r="E12" s="2">
        <f>prod[[#This Row],[QUANTITY]]*8</f>
        <v>96</v>
      </c>
    </row>
    <row r="13" spans="1:12" x14ac:dyDescent="0.2">
      <c r="A13" s="3">
        <v>44200</v>
      </c>
      <c r="B13" s="2" t="s">
        <v>11</v>
      </c>
      <c r="C13" s="2">
        <v>12</v>
      </c>
      <c r="D13" s="2" t="s">
        <v>7</v>
      </c>
      <c r="E13" s="2">
        <f>prod[[#This Row],[QUANTITY]]*8</f>
        <v>96</v>
      </c>
    </row>
    <row r="14" spans="1:12" x14ac:dyDescent="0.2">
      <c r="A14" s="3">
        <v>44198</v>
      </c>
      <c r="B14" s="2" t="s">
        <v>6</v>
      </c>
      <c r="C14" s="2">
        <v>15</v>
      </c>
      <c r="D14" s="2" t="s">
        <v>7</v>
      </c>
      <c r="E14" s="2">
        <f>prod[[#This Row],[QUANTITY]]*8</f>
        <v>120</v>
      </c>
      <c r="G14">
        <f>prod[[#This Row],[QUANTITY]]*10</f>
        <v>150</v>
      </c>
    </row>
    <row r="15" spans="1:12" x14ac:dyDescent="0.2">
      <c r="A15" s="3">
        <v>44198</v>
      </c>
      <c r="B15" s="2" t="s">
        <v>6</v>
      </c>
      <c r="C15" s="2">
        <v>15</v>
      </c>
      <c r="D15" s="2" t="s">
        <v>7</v>
      </c>
      <c r="E15" s="2">
        <f>prod[[#This Row],[QUANTITY]]*8</f>
        <v>120</v>
      </c>
    </row>
    <row r="16" spans="1:12" x14ac:dyDescent="0.2">
      <c r="A16" s="3">
        <v>44198</v>
      </c>
      <c r="B16" s="2" t="s">
        <v>6</v>
      </c>
      <c r="C16" s="2">
        <v>15</v>
      </c>
      <c r="D16" s="2" t="s">
        <v>7</v>
      </c>
      <c r="E16" s="2">
        <f>prod[[#This Row],[QUANTITY]]*8</f>
        <v>120</v>
      </c>
    </row>
    <row r="17" spans="1:7" x14ac:dyDescent="0.2">
      <c r="A17" s="3">
        <v>44198</v>
      </c>
      <c r="B17" s="2" t="s">
        <v>6</v>
      </c>
      <c r="C17" s="2">
        <v>15</v>
      </c>
      <c r="D17" s="2" t="s">
        <v>7</v>
      </c>
      <c r="E17" s="2">
        <f>prod[[#This Row],[QUANTITY]]*8</f>
        <v>120</v>
      </c>
      <c r="G17">
        <f>prod[[#This Row],[QUANTITY]]*10</f>
        <v>150</v>
      </c>
    </row>
    <row r="18" spans="1:7" x14ac:dyDescent="0.2">
      <c r="A18" s="3">
        <v>44208</v>
      </c>
      <c r="B18" s="2" t="s">
        <v>17</v>
      </c>
      <c r="C18" s="2">
        <v>10</v>
      </c>
      <c r="D18" s="2" t="s">
        <v>7</v>
      </c>
      <c r="E18" s="2">
        <f>prod[[#This Row],[QUANTITY]]*8</f>
        <v>80</v>
      </c>
    </row>
    <row r="19" spans="1:7" x14ac:dyDescent="0.2">
      <c r="A19" s="3">
        <v>44208</v>
      </c>
      <c r="B19" s="2" t="s">
        <v>17</v>
      </c>
      <c r="C19" s="2">
        <v>10</v>
      </c>
      <c r="D19" s="2" t="s">
        <v>7</v>
      </c>
      <c r="E19" s="2">
        <f>prod[[#This Row],[QUANTITY]]*8</f>
        <v>80</v>
      </c>
    </row>
    <row r="20" spans="1:7" x14ac:dyDescent="0.2">
      <c r="A20" s="3">
        <v>44208</v>
      </c>
      <c r="B20" s="2" t="s">
        <v>17</v>
      </c>
      <c r="C20" s="2">
        <v>10</v>
      </c>
      <c r="D20" s="2" t="s">
        <v>7</v>
      </c>
      <c r="E20" s="2">
        <f>prod[[#This Row],[QUANTITY]]*8</f>
        <v>80</v>
      </c>
    </row>
    <row r="21" spans="1:7" x14ac:dyDescent="0.2">
      <c r="A21" s="3">
        <v>44208</v>
      </c>
      <c r="B21" s="2" t="s">
        <v>17</v>
      </c>
      <c r="C21" s="2">
        <v>10</v>
      </c>
      <c r="D21" s="2" t="s">
        <v>7</v>
      </c>
      <c r="E21" s="2">
        <f>prod[[#This Row],[QUANTITY]]*8</f>
        <v>80</v>
      </c>
    </row>
    <row r="22" spans="1:7" x14ac:dyDescent="0.2">
      <c r="A22" s="3">
        <v>44205</v>
      </c>
      <c r="B22" s="2" t="s">
        <v>13</v>
      </c>
      <c r="C22" s="2">
        <v>8</v>
      </c>
      <c r="D22" s="2" t="s">
        <v>9</v>
      </c>
      <c r="E22" s="2">
        <f>prod[[#This Row],[QUANTITY]]*8</f>
        <v>64</v>
      </c>
    </row>
    <row r="23" spans="1:7" x14ac:dyDescent="0.2">
      <c r="A23" s="3">
        <v>44205</v>
      </c>
      <c r="B23" s="2" t="s">
        <v>13</v>
      </c>
      <c r="C23" s="2">
        <v>8</v>
      </c>
      <c r="D23" s="2" t="s">
        <v>9</v>
      </c>
      <c r="E23" s="2">
        <f>prod[[#This Row],[QUANTITY]]*8</f>
        <v>64</v>
      </c>
    </row>
    <row r="24" spans="1:7" x14ac:dyDescent="0.2">
      <c r="A24" s="3">
        <v>44205</v>
      </c>
      <c r="B24" s="2" t="s">
        <v>13</v>
      </c>
      <c r="C24" s="2">
        <v>8</v>
      </c>
      <c r="D24" s="2" t="s">
        <v>9</v>
      </c>
      <c r="E24" s="2">
        <f>prod[[#This Row],[QUANTITY]]*8</f>
        <v>64</v>
      </c>
    </row>
    <row r="25" spans="1:7" x14ac:dyDescent="0.2">
      <c r="A25" s="3">
        <v>44205</v>
      </c>
      <c r="B25" s="2" t="s">
        <v>13</v>
      </c>
      <c r="C25" s="2">
        <v>8</v>
      </c>
      <c r="D25" s="2" t="s">
        <v>9</v>
      </c>
      <c r="E25" s="2">
        <f>prod[[#This Row],[QUANTITY]]*8</f>
        <v>64</v>
      </c>
    </row>
    <row r="26" spans="1:7" x14ac:dyDescent="0.2">
      <c r="A26" s="3">
        <v>44199</v>
      </c>
      <c r="B26" s="2" t="s">
        <v>10</v>
      </c>
      <c r="C26" s="2">
        <v>5</v>
      </c>
      <c r="D26" s="2" t="s">
        <v>9</v>
      </c>
      <c r="E26" s="2">
        <f>prod[[#This Row],[QUANTITY]]*8</f>
        <v>40</v>
      </c>
    </row>
    <row r="27" spans="1:7" x14ac:dyDescent="0.2">
      <c r="A27" s="3">
        <v>44199</v>
      </c>
      <c r="B27" s="2" t="s">
        <v>10</v>
      </c>
      <c r="C27" s="2">
        <v>5</v>
      </c>
      <c r="D27" s="2" t="s">
        <v>9</v>
      </c>
      <c r="E27" s="2">
        <f>prod[[#This Row],[QUANTITY]]*8</f>
        <v>40</v>
      </c>
    </row>
    <row r="28" spans="1:7" x14ac:dyDescent="0.2">
      <c r="A28" s="3">
        <v>44199</v>
      </c>
      <c r="B28" s="2" t="s">
        <v>10</v>
      </c>
      <c r="C28" s="2">
        <v>5</v>
      </c>
      <c r="D28" s="2" t="s">
        <v>9</v>
      </c>
      <c r="E28" s="2">
        <f>prod[[#This Row],[QUANTITY]]*8</f>
        <v>40</v>
      </c>
    </row>
    <row r="29" spans="1:7" x14ac:dyDescent="0.2">
      <c r="A29" s="3">
        <v>44199</v>
      </c>
      <c r="B29" s="2" t="s">
        <v>10</v>
      </c>
      <c r="C29" s="2">
        <v>5</v>
      </c>
      <c r="D29" s="2" t="s">
        <v>9</v>
      </c>
      <c r="E29" s="2">
        <f>prod[[#This Row],[QUANTITY]]*8</f>
        <v>40</v>
      </c>
    </row>
    <row r="30" spans="1:7" x14ac:dyDescent="0.2">
      <c r="A30" s="3">
        <v>44198</v>
      </c>
      <c r="B30" s="2" t="s">
        <v>8</v>
      </c>
      <c r="C30" s="2">
        <v>6</v>
      </c>
      <c r="D30" s="2" t="s">
        <v>9</v>
      </c>
      <c r="E30" s="2">
        <f>prod[[#This Row],[QUANTITY]]*8</f>
        <v>48</v>
      </c>
    </row>
    <row r="31" spans="1:7" x14ac:dyDescent="0.2">
      <c r="A31" s="3">
        <v>44198</v>
      </c>
      <c r="B31" s="2" t="s">
        <v>8</v>
      </c>
      <c r="C31" s="2">
        <v>6</v>
      </c>
      <c r="D31" s="2" t="s">
        <v>9</v>
      </c>
      <c r="E31" s="2">
        <f>prod[[#This Row],[QUANTITY]]*8</f>
        <v>48</v>
      </c>
    </row>
    <row r="32" spans="1:7" x14ac:dyDescent="0.2">
      <c r="A32" s="3">
        <v>44198</v>
      </c>
      <c r="B32" s="2" t="s">
        <v>8</v>
      </c>
      <c r="C32" s="2">
        <v>6</v>
      </c>
      <c r="D32" s="2" t="s">
        <v>9</v>
      </c>
      <c r="E32" s="2">
        <f>prod[[#This Row],[QUANTITY]]*8</f>
        <v>48</v>
      </c>
    </row>
    <row r="33" spans="1:5" x14ac:dyDescent="0.2">
      <c r="A33" s="3">
        <v>44198</v>
      </c>
      <c r="B33" s="2" t="s">
        <v>8</v>
      </c>
      <c r="C33" s="2">
        <v>6</v>
      </c>
      <c r="D33" s="2" t="s">
        <v>9</v>
      </c>
      <c r="E33" s="2">
        <f>prod[[#This Row],[QUANTITY]]*8</f>
        <v>48</v>
      </c>
    </row>
    <row r="34" spans="1:5" x14ac:dyDescent="0.2">
      <c r="A34" s="3">
        <v>44205</v>
      </c>
      <c r="B34" s="2" t="s">
        <v>14</v>
      </c>
      <c r="C34" s="2">
        <v>4</v>
      </c>
      <c r="D34" s="2" t="s">
        <v>9</v>
      </c>
      <c r="E34" s="2">
        <f>prod[[#This Row],[QUANTITY]]*8</f>
        <v>32</v>
      </c>
    </row>
    <row r="35" spans="1:5" x14ac:dyDescent="0.2">
      <c r="A35" s="3">
        <v>44205</v>
      </c>
      <c r="B35" s="2" t="s">
        <v>14</v>
      </c>
      <c r="C35" s="2">
        <v>4</v>
      </c>
      <c r="D35" s="2" t="s">
        <v>9</v>
      </c>
      <c r="E35" s="2">
        <f>prod[[#This Row],[QUANTITY]]*8</f>
        <v>32</v>
      </c>
    </row>
    <row r="36" spans="1:5" x14ac:dyDescent="0.2">
      <c r="A36" s="3">
        <v>44205</v>
      </c>
      <c r="B36" s="2" t="s">
        <v>14</v>
      </c>
      <c r="C36" s="2">
        <v>4</v>
      </c>
      <c r="D36" s="2" t="s">
        <v>9</v>
      </c>
      <c r="E36" s="2">
        <f>prod[[#This Row],[QUANTITY]]*8</f>
        <v>32</v>
      </c>
    </row>
    <row r="37" spans="1:5" x14ac:dyDescent="0.2">
      <c r="A37" s="3">
        <v>44205</v>
      </c>
      <c r="B37" s="2" t="s">
        <v>14</v>
      </c>
      <c r="C37" s="2">
        <v>4</v>
      </c>
      <c r="D37" s="2" t="s">
        <v>9</v>
      </c>
      <c r="E37" s="2">
        <f>prod[[#This Row],[QUANTITY]]*8</f>
        <v>32</v>
      </c>
    </row>
    <row r="38" spans="1:5" x14ac:dyDescent="0.2">
      <c r="A38" s="3">
        <v>44205</v>
      </c>
      <c r="B38" s="2" t="s">
        <v>12</v>
      </c>
      <c r="C38" s="2">
        <v>1</v>
      </c>
      <c r="D38" s="2" t="s">
        <v>9</v>
      </c>
      <c r="E38" s="2">
        <f>prod[[#This Row],[QUANTITY]]*8</f>
        <v>8</v>
      </c>
    </row>
    <row r="39" spans="1:5" x14ac:dyDescent="0.2">
      <c r="A39" s="3">
        <v>44205</v>
      </c>
      <c r="B39" s="2" t="s">
        <v>12</v>
      </c>
      <c r="C39" s="2">
        <v>1</v>
      </c>
      <c r="D39" s="2" t="s">
        <v>9</v>
      </c>
      <c r="E39" s="2">
        <f>prod[[#This Row],[QUANTITY]]*8</f>
        <v>8</v>
      </c>
    </row>
    <row r="40" spans="1:5" x14ac:dyDescent="0.2">
      <c r="A40" s="3">
        <v>44205</v>
      </c>
      <c r="B40" s="2" t="s">
        <v>12</v>
      </c>
      <c r="C40" s="2">
        <v>1</v>
      </c>
      <c r="D40" s="2" t="s">
        <v>9</v>
      </c>
      <c r="E40" s="2">
        <f>prod[[#This Row],[QUANTITY]]*8</f>
        <v>8</v>
      </c>
    </row>
    <row r="41" spans="1:5" x14ac:dyDescent="0.2">
      <c r="A41" s="3">
        <v>44205</v>
      </c>
      <c r="B41" s="2" t="s">
        <v>12</v>
      </c>
      <c r="C41" s="2">
        <v>1</v>
      </c>
      <c r="D41" s="2" t="s">
        <v>9</v>
      </c>
      <c r="E41" s="2">
        <f>prod[[#This Row],[QUANTITY]]*8</f>
        <v>8</v>
      </c>
    </row>
    <row r="42" spans="1:5" x14ac:dyDescent="0.2">
      <c r="A42" s="3">
        <v>44207</v>
      </c>
      <c r="B42" s="2" t="s">
        <v>15</v>
      </c>
      <c r="C42" s="2">
        <v>3</v>
      </c>
      <c r="D42" s="2" t="s">
        <v>9</v>
      </c>
      <c r="E42" s="2">
        <f>prod[[#This Row],[QUANTITY]]*8</f>
        <v>24</v>
      </c>
    </row>
    <row r="43" spans="1:5" x14ac:dyDescent="0.2">
      <c r="A43" s="3">
        <v>44207</v>
      </c>
      <c r="B43" s="2" t="s">
        <v>15</v>
      </c>
      <c r="C43" s="2">
        <v>3</v>
      </c>
      <c r="D43" s="2" t="s">
        <v>9</v>
      </c>
      <c r="E43" s="2">
        <f>prod[[#This Row],[QUANTITY]]*8</f>
        <v>24</v>
      </c>
    </row>
    <row r="44" spans="1:5" x14ac:dyDescent="0.2">
      <c r="A44" s="3">
        <v>44207</v>
      </c>
      <c r="B44" s="2" t="s">
        <v>15</v>
      </c>
      <c r="C44" s="2">
        <v>3</v>
      </c>
      <c r="D44" s="2" t="s">
        <v>9</v>
      </c>
      <c r="E44" s="2">
        <f>prod[[#This Row],[QUANTITY]]*8</f>
        <v>24</v>
      </c>
    </row>
    <row r="45" spans="1:5" x14ac:dyDescent="0.2">
      <c r="A45" s="3">
        <v>44207</v>
      </c>
      <c r="B45" s="2" t="s">
        <v>15</v>
      </c>
      <c r="C45" s="2">
        <v>3</v>
      </c>
      <c r="D45" s="2" t="s">
        <v>9</v>
      </c>
      <c r="E45" s="2">
        <f>prod[[#This Row],[QUANTITY]]*8</f>
        <v>24</v>
      </c>
    </row>
    <row r="46" spans="1:5" x14ac:dyDescent="0.2">
      <c r="A46" s="3">
        <v>44207</v>
      </c>
      <c r="B46" s="2" t="s">
        <v>17</v>
      </c>
      <c r="C46" s="2">
        <v>4</v>
      </c>
      <c r="D46" s="2" t="s">
        <v>9</v>
      </c>
      <c r="E46" s="2">
        <f>prod[[#This Row],[QUANTITY]]*8</f>
        <v>32</v>
      </c>
    </row>
    <row r="47" spans="1:5" x14ac:dyDescent="0.2">
      <c r="A47" s="3">
        <v>44207</v>
      </c>
      <c r="B47" s="2" t="s">
        <v>17</v>
      </c>
      <c r="C47" s="2">
        <v>4</v>
      </c>
      <c r="D47" s="2" t="s">
        <v>9</v>
      </c>
      <c r="E47" s="2">
        <f>prod[[#This Row],[QUANTITY]]*8</f>
        <v>32</v>
      </c>
    </row>
    <row r="48" spans="1:5" x14ac:dyDescent="0.2">
      <c r="A48" s="3">
        <v>44207</v>
      </c>
      <c r="B48" s="2" t="s">
        <v>17</v>
      </c>
      <c r="C48" s="2">
        <v>4</v>
      </c>
      <c r="D48" s="2" t="s">
        <v>9</v>
      </c>
      <c r="E48" s="2">
        <f>prod[[#This Row],[QUANTITY]]*8</f>
        <v>32</v>
      </c>
    </row>
    <row r="49" spans="1:5" x14ac:dyDescent="0.2">
      <c r="A49" s="3">
        <v>44207</v>
      </c>
      <c r="B49" s="2" t="s">
        <v>17</v>
      </c>
      <c r="C49" s="2">
        <v>4</v>
      </c>
      <c r="D49" s="2" t="s">
        <v>9</v>
      </c>
      <c r="E49" s="2">
        <f>prod[[#This Row],[QUANTITY]]*8</f>
        <v>32</v>
      </c>
    </row>
    <row r="50" spans="1:5" x14ac:dyDescent="0.2">
      <c r="A50" s="3">
        <v>44214</v>
      </c>
      <c r="B50" s="2" t="s">
        <v>18</v>
      </c>
      <c r="C50" s="2">
        <v>13</v>
      </c>
      <c r="D50" s="2" t="s">
        <v>9</v>
      </c>
      <c r="E50" s="2">
        <f>prod[[#This Row],[QUANTITY]]*8</f>
        <v>104</v>
      </c>
    </row>
    <row r="51" spans="1:5" x14ac:dyDescent="0.2">
      <c r="A51" s="3">
        <v>44214</v>
      </c>
      <c r="B51" s="2" t="s">
        <v>18</v>
      </c>
      <c r="C51" s="2">
        <v>13</v>
      </c>
      <c r="D51" s="2" t="s">
        <v>9</v>
      </c>
      <c r="E51" s="2">
        <f>prod[[#This Row],[QUANTITY]]*8</f>
        <v>104</v>
      </c>
    </row>
    <row r="52" spans="1:5" x14ac:dyDescent="0.2">
      <c r="A52" s="3">
        <v>44214</v>
      </c>
      <c r="B52" s="2" t="s">
        <v>18</v>
      </c>
      <c r="C52" s="2">
        <v>13</v>
      </c>
      <c r="D52" s="2" t="s">
        <v>9</v>
      </c>
      <c r="E52" s="2">
        <f>prod[[#This Row],[QUANTITY]]*8</f>
        <v>104</v>
      </c>
    </row>
    <row r="53" spans="1:5" x14ac:dyDescent="0.2">
      <c r="A53" s="3">
        <v>44214</v>
      </c>
      <c r="B53" s="2" t="s">
        <v>18</v>
      </c>
      <c r="C53" s="2">
        <v>13</v>
      </c>
      <c r="D53" s="2" t="s">
        <v>9</v>
      </c>
      <c r="E53" s="2">
        <f>prod[[#This Row],[QUANTITY]]*8</f>
        <v>104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30A8F-1A02-0741-8FF5-BD6795B94919}">
  <dimension ref="B3:F28"/>
  <sheetViews>
    <sheetView zoomScale="159" workbookViewId="0">
      <selection activeCell="B19" sqref="B19"/>
    </sheetView>
  </sheetViews>
  <sheetFormatPr baseColWidth="10" defaultRowHeight="16" x14ac:dyDescent="0.2"/>
  <sheetData>
    <row r="3" spans="2:6" x14ac:dyDescent="0.2">
      <c r="C3" t="s">
        <v>42</v>
      </c>
    </row>
    <row r="4" spans="2:6" x14ac:dyDescent="0.2">
      <c r="C4" t="s">
        <v>43</v>
      </c>
    </row>
    <row r="8" spans="2:6" x14ac:dyDescent="0.2">
      <c r="B8" t="str">
        <f xml:space="preserve"> "&lt;TL&gt; : &lt;BR&gt;"</f>
        <v>&lt;TL&gt; : &lt;BR&gt;</v>
      </c>
      <c r="D8" t="s">
        <v>20</v>
      </c>
    </row>
    <row r="10" spans="2:6" x14ac:dyDescent="0.2">
      <c r="B10" t="str">
        <f>"=&lt;CELL ADDRESS&gt;"</f>
        <v>=&lt;CELL ADDRESS&gt;</v>
      </c>
      <c r="D10" t="s">
        <v>21</v>
      </c>
    </row>
    <row r="13" spans="2:6" x14ac:dyDescent="0.2">
      <c r="B13" t="str">
        <f>"=&lt;TL&gt;:&lt;BR&gt;"</f>
        <v>=&lt;TL&gt;:&lt;BR&gt;</v>
      </c>
      <c r="D13" t="s">
        <v>22</v>
      </c>
    </row>
    <row r="16" spans="2:6" x14ac:dyDescent="0.2">
      <c r="B16" t="str">
        <f>"=&lt;SheetNAME&gt;!&lt;RANGE / CELL ADDRESS&gt;"</f>
        <v>=&lt;SheetNAME&gt;!&lt;RANGE / CELL ADDRESS&gt;</v>
      </c>
      <c r="F16" t="s">
        <v>23</v>
      </c>
    </row>
    <row r="19" spans="2:5" x14ac:dyDescent="0.2">
      <c r="B19" t="s">
        <v>24</v>
      </c>
      <c r="E19" t="s">
        <v>25</v>
      </c>
    </row>
    <row r="21" spans="2:5" x14ac:dyDescent="0.2">
      <c r="B21" t="s">
        <v>26</v>
      </c>
      <c r="E21" t="s">
        <v>27</v>
      </c>
    </row>
    <row r="25" spans="2:5" x14ac:dyDescent="0.2">
      <c r="B25" t="s">
        <v>38</v>
      </c>
      <c r="D25" s="1"/>
      <c r="E25" t="s">
        <v>39</v>
      </c>
    </row>
    <row r="28" spans="2:5" x14ac:dyDescent="0.2">
      <c r="B28" t="s">
        <v>40</v>
      </c>
      <c r="E28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9EA9D-09A7-6A41-9549-4D580592F812}">
  <dimension ref="B3:F10"/>
  <sheetViews>
    <sheetView zoomScale="185" workbookViewId="0">
      <selection activeCell="E15" sqref="E15"/>
    </sheetView>
  </sheetViews>
  <sheetFormatPr baseColWidth="10" defaultRowHeight="16" x14ac:dyDescent="0.2"/>
  <cols>
    <col min="3" max="3" width="10.83203125" style="6"/>
    <col min="5" max="5" width="10.83203125" style="7"/>
    <col min="6" max="6" width="22" bestFit="1" customWidth="1"/>
  </cols>
  <sheetData>
    <row r="3" spans="2:6" x14ac:dyDescent="0.2">
      <c r="B3" s="5"/>
    </row>
    <row r="5" spans="2:6" x14ac:dyDescent="0.2">
      <c r="F5" s="7"/>
    </row>
    <row r="8" spans="2:6" x14ac:dyDescent="0.2">
      <c r="C8" s="6">
        <v>44</v>
      </c>
      <c r="E8" s="7">
        <v>44</v>
      </c>
    </row>
    <row r="10" spans="2:6" x14ac:dyDescent="0.2">
      <c r="C10" s="6">
        <v>0</v>
      </c>
      <c r="E10" s="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product</vt:lpstr>
      <vt:lpstr>agenda</vt:lpstr>
      <vt:lpstr>Sheet5</vt:lpstr>
      <vt:lpstr>PIE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2026-01-04T15:36:35Z</dcterms:created>
  <dcterms:modified xsi:type="dcterms:W3CDTF">2026-01-04T17:38:12Z</dcterms:modified>
</cp:coreProperties>
</file>