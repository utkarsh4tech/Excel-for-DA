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2D913538-D7F8-584A-94F7-4BA9CD44248C}" xr6:coauthVersionLast="47" xr6:coauthVersionMax="47" xr10:uidLastSave="{00000000-0000-0000-0000-000000000000}"/>
  <bookViews>
    <workbookView xWindow="0" yWindow="620" windowWidth="28800" windowHeight="17400" xr2:uid="{DC81BC4F-21CF-454F-8455-803F28CBB0EB}"/>
  </bookViews>
  <sheets>
    <sheet name="AGENDA" sheetId="1" r:id="rId1"/>
    <sheet name="Sheet2" sheetId="2" r:id="rId2"/>
    <sheet name="Sheet3" sheetId="3" r:id="rId3"/>
    <sheet name="Sheet4" sheetId="4" r:id="rId4"/>
  </sheets>
  <definedNames>
    <definedName name="PIE">Sheet3!$C$27</definedName>
    <definedName name="students">Sheet3!$E$20:$E$22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3" l="1"/>
  <c r="H20" i="3" a="1"/>
  <c r="H20" i="3" s="1"/>
  <c r="D35" i="3"/>
  <c r="D34" i="3"/>
  <c r="F30" i="3"/>
  <c r="F2" i="3"/>
  <c r="C53" i="2" a="1"/>
  <c r="C53" i="2" s="1"/>
  <c r="F16" i="3"/>
  <c r="E16" i="3"/>
  <c r="F15" i="3"/>
  <c r="E15" i="3"/>
  <c r="F14" i="3"/>
  <c r="E14" i="3"/>
  <c r="F13" i="3"/>
  <c r="E13" i="3"/>
  <c r="F12" i="3"/>
  <c r="E12" i="3"/>
  <c r="F3" i="3"/>
  <c r="F4" i="3"/>
  <c r="F5" i="3"/>
  <c r="F6" i="3"/>
  <c r="B60" i="1" a="1"/>
  <c r="B60" i="1" s="1"/>
  <c r="B16" i="2" a="1"/>
  <c r="B16" i="2" s="1"/>
  <c r="E43" i="1"/>
  <c r="C43" i="1"/>
  <c r="D43" i="1"/>
  <c r="C44" i="1"/>
  <c r="C45" i="1"/>
  <c r="C46" i="1"/>
  <c r="E2" i="3"/>
  <c r="E3" i="3"/>
  <c r="E4" i="3"/>
  <c r="E5" i="3"/>
  <c r="E6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<sst xmlns="http://schemas.openxmlformats.org/spreadsheetml/2006/main" count="165" uniqueCount="72">
  <si>
    <t>CELL REFERENCE</t>
  </si>
  <si>
    <t>AUTOFILL</t>
  </si>
  <si>
    <t>Product ID</t>
  </si>
  <si>
    <t>CP</t>
  </si>
  <si>
    <t>SP</t>
  </si>
  <si>
    <t>Profit</t>
  </si>
  <si>
    <t>HARDCODED -- FIXED</t>
  </si>
  <si>
    <t>SP_Disc</t>
  </si>
  <si>
    <t xml:space="preserve">DISC </t>
  </si>
  <si>
    <t>MIRRORING</t>
  </si>
  <si>
    <t>NAME?</t>
  </si>
  <si>
    <t xml:space="preserve">$$ </t>
  </si>
  <si>
    <t>way to signal EXCEL that don’t update the cell address in autofill, it has to be fixed.</t>
  </si>
  <si>
    <t>J12</t>
  </si>
  <si>
    <t>$J$12</t>
  </si>
  <si>
    <t>RELATIVE CELL REF</t>
  </si>
  <si>
    <t>ABSOLUTE CELL REF</t>
  </si>
  <si>
    <t>HERE NEITHER ROW CAN CHANGE NOR MY COLUMN CAN CHNG</t>
  </si>
  <si>
    <t>XYZ</t>
  </si>
  <si>
    <t>ABC</t>
  </si>
  <si>
    <t>SHSH</t>
  </si>
  <si>
    <t>Both Row n Col can change</t>
  </si>
  <si>
    <t>J$12</t>
  </si>
  <si>
    <t>ROW IS FIXED , column can chng</t>
  </si>
  <si>
    <t>$J12</t>
  </si>
  <si>
    <t>MIXED CELL REF</t>
  </si>
  <si>
    <t>COLUMN is fixed but ROW CAN CHNG</t>
  </si>
  <si>
    <t>RANGE</t>
  </si>
  <si>
    <t>ADDRESS OF CELL</t>
  </si>
  <si>
    <t>&lt;COLUMN ALPHABET&gt;&lt;ROW NUM&gt;</t>
  </si>
  <si>
    <t>COPY from another sheet's cell</t>
  </si>
  <si>
    <t>&lt;SHEET NAME&gt;!&lt;COL APHABET&gt;&lt;ROW NUM&gt;</t>
  </si>
  <si>
    <t>&lt;TOP LEFT&gt; : &lt; BOTTOM RIGHT&gt;</t>
  </si>
  <si>
    <t>&lt;SHEET NAME&gt;!&lt;RANGE ADDRESS&gt;</t>
  </si>
  <si>
    <t>DATE</t>
  </si>
  <si>
    <t>PRODUCT ID</t>
  </si>
  <si>
    <t>QUANTITY</t>
  </si>
  <si>
    <t>SALE TYPE</t>
  </si>
  <si>
    <t>P0014</t>
  </si>
  <si>
    <t>Wholesaler</t>
  </si>
  <si>
    <t>P0024</t>
  </si>
  <si>
    <t>P0035</t>
  </si>
  <si>
    <t>Online</t>
  </si>
  <si>
    <t>P0038</t>
  </si>
  <si>
    <t>P0042</t>
  </si>
  <si>
    <t>P0003</t>
  </si>
  <si>
    <t>Direct Sales</t>
  </si>
  <si>
    <t>P0004</t>
  </si>
  <si>
    <t>P0013</t>
  </si>
  <si>
    <t>P0025</t>
  </si>
  <si>
    <t>P0031</t>
  </si>
  <si>
    <t>P0037</t>
  </si>
  <si>
    <t>P0044</t>
  </si>
  <si>
    <t>CTRL + SHIFT + ARROW KEY</t>
  </si>
  <si>
    <t>Quick selection</t>
  </si>
  <si>
    <t>Stops when a blank cell is encountered</t>
  </si>
  <si>
    <t>CTRL + ARROW KEY</t>
  </si>
  <si>
    <t>QUICK NAVIGATION</t>
  </si>
  <si>
    <t>TABLE</t>
  </si>
  <si>
    <t>ctrl+t</t>
  </si>
  <si>
    <t>filters</t>
  </si>
  <si>
    <t>sorting</t>
  </si>
  <si>
    <t>visual aid in reading</t>
  </si>
  <si>
    <t>one name to entire table</t>
  </si>
  <si>
    <t>Rad</t>
  </si>
  <si>
    <t>Cir</t>
  </si>
  <si>
    <t xml:space="preserve">PIE </t>
  </si>
  <si>
    <t>stu 1</t>
  </si>
  <si>
    <t>stu 2</t>
  </si>
  <si>
    <t>stu 3</t>
  </si>
  <si>
    <t>NAMED RANGES</t>
  </si>
  <si>
    <t>HUMAN FRIENDLY for FORMULAS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</si>
</sst>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customXml" Target="../ink/ink1.xml"/><Relationship Id="rId7" Type="http://schemas.openxmlformats.org/officeDocument/2006/relationships/customXml" Target="../ink/ink3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4.png"/><Relationship Id="rId5" Type="http://schemas.openxmlformats.org/officeDocument/2006/relationships/customXml" Target="../ink/ink2.xml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96281</xdr:colOff>
      <xdr:row>7</xdr:row>
      <xdr:rowOff>101760</xdr:rowOff>
    </xdr:from>
    <xdr:to>
      <xdr:col>4</xdr:col>
      <xdr:colOff>652146</xdr:colOff>
      <xdr:row>11</xdr:row>
      <xdr:rowOff>34262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246C07-71D6-5D0C-B425-CAA4335B25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1552" y="1513890"/>
          <a:ext cx="3031677" cy="73943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</xdr:row>
      <xdr:rowOff>155885</xdr:rowOff>
    </xdr:from>
    <xdr:to>
      <xdr:col>5</xdr:col>
      <xdr:colOff>204117</xdr:colOff>
      <xdr:row>21</xdr:row>
      <xdr:rowOff>153455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836F721-F7B8-CCE0-E9F0-2EF3925FA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271" y="2980145"/>
          <a:ext cx="3505200" cy="1409700"/>
        </a:xfrm>
        <a:prstGeom prst="rect">
          <a:avLst/>
        </a:prstGeom>
      </xdr:spPr>
    </xdr:pic>
    <xdr:clientData/>
  </xdr:twoCellAnchor>
  <xdr:twoCellAnchor editAs="oneCell">
    <xdr:from>
      <xdr:col>2</xdr:col>
      <xdr:colOff>131458</xdr:colOff>
      <xdr:row>16</xdr:row>
      <xdr:rowOff>90034</xdr:rowOff>
    </xdr:from>
    <xdr:to>
      <xdr:col>6</xdr:col>
      <xdr:colOff>505615</xdr:colOff>
      <xdr:row>20</xdr:row>
      <xdr:rowOff>131263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303279C4-C91F-6DEE-C9D1-E245590B9A5D}"/>
                </a:ext>
              </a:extLst>
            </xdr14:cNvPr>
            <xdr14:cNvContentPartPr/>
          </xdr14:nvContentPartPr>
          <xdr14:nvPr macro=""/>
          <xdr14:xfrm>
            <a:off x="1782000" y="3317760"/>
            <a:ext cx="3675240" cy="848160"/>
          </xdr14:xfrm>
        </xdr:contentPart>
      </mc:Choice>
      <mc:Fallback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303279C4-C91F-6DEE-C9D1-E245590B9A5D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773360" y="3309116"/>
              <a:ext cx="3692880" cy="86580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18929</xdr:colOff>
      <xdr:row>34</xdr:row>
      <xdr:rowOff>20683</xdr:rowOff>
    </xdr:from>
    <xdr:to>
      <xdr:col>1</xdr:col>
      <xdr:colOff>223769</xdr:colOff>
      <xdr:row>34</xdr:row>
      <xdr:rowOff>30043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B58D0748-5403-D88A-976F-EB7D0B262EF1}"/>
                </a:ext>
              </a:extLst>
            </xdr14:cNvPr>
            <xdr14:cNvContentPartPr/>
          </xdr14:nvContentPartPr>
          <xdr14:nvPr macro=""/>
          <xdr14:xfrm>
            <a:off x="844200" y="6879600"/>
            <a:ext cx="204840" cy="9360"/>
          </xdr14:xfrm>
        </xdr:contentPart>
      </mc:Choice>
      <mc:Fallback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B58D0748-5403-D88A-976F-EB7D0B262EF1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838069" y="6873707"/>
              <a:ext cx="217102" cy="2114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35489</xdr:colOff>
      <xdr:row>32</xdr:row>
      <xdr:rowOff>187269</xdr:rowOff>
    </xdr:from>
    <xdr:to>
      <xdr:col>1</xdr:col>
      <xdr:colOff>299369</xdr:colOff>
      <xdr:row>33</xdr:row>
      <xdr:rowOff>57176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37" name="Ink 36">
              <a:extLst>
                <a:ext uri="{FF2B5EF4-FFF2-40B4-BE49-F238E27FC236}">
                  <a16:creationId xmlns:a16="http://schemas.microsoft.com/office/drawing/2014/main" id="{789B7AA7-DCC9-DE9B-E88F-39F7AD329E83}"/>
                </a:ext>
              </a:extLst>
            </xdr14:cNvPr>
            <xdr14:cNvContentPartPr/>
          </xdr14:nvContentPartPr>
          <xdr14:nvPr macro=""/>
          <xdr14:xfrm>
            <a:off x="860760" y="6642720"/>
            <a:ext cx="263880" cy="71640"/>
          </xdr14:xfrm>
        </xdr:contentPart>
      </mc:Choice>
      <mc:Fallback>
        <xdr:pic>
          <xdr:nvPicPr>
            <xdr:cNvPr id="37" name="Ink 36">
              <a:extLst>
                <a:ext uri="{FF2B5EF4-FFF2-40B4-BE49-F238E27FC236}">
                  <a16:creationId xmlns:a16="http://schemas.microsoft.com/office/drawing/2014/main" id="{789B7AA7-DCC9-DE9B-E88F-39F7AD329E83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854640" y="6636600"/>
              <a:ext cx="276120" cy="838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17T16:19:38.970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1 1233 24575,'17'15'0,"21"12"0,25 14 0,-21-15 0,3 2 0,5 2 0,1 0 0,0-1 0,1-1 0,2-1 0,0 0 0,3-3 0,3 0 0,10-1 0,6-3 0,15 1 0,6-3-474,-19-6 0,4-2 0,4 0 474,-11-4 0,3 0 0,1 0 0,2-2-475,9 0 0,1 0 0,1-2 0,1 1 475,5-1 0,1 0 0,0-1 0,-1 0 0,-3-1 0,-1 0 0,0-1 0,-1-1 0,-3 0 0,-1-1 0,-1-1 0,-1-1-223,-10 0 0,0-1 0,-2-1 0,-2-1 223,17-3 0,-3-2 0,-2-1-73,-7 0 1,-3-2 0,-3 0 72,17-9 0,-4-2 598,-8 1 1,-3-1-599,-8 1 0,-3 0 954,-8 2 1,-2 2-955,-5 2 0,-2 1 1050,34-12-1050,-11 5 275,-8 3-275,-12 6 0,-12 4 0,-11 3 0,-9 3 0,-6 2 0,-7 3 0,-1 1 0</inkml:trace>
  <inkml:trace contextRef="#ctx0" brushRef="#br0" timeOffset="1733">5503 613 24575,'-10'0'0,"-6"0"0,-6 0 0,-5 0 0,1 3 0,3 4 0,4 7 0,4 5 0,0 7 0,1 11 0,-1 13 0,2 8 0,2 4 0,4-8 0,5-12 0,1-12 0,2-11 0,7-6 0,9 1 0,13 4 0,12 5 0,6 1 0,2-4 0,-2-5 0,-9-5 0,-10-5 0,-9-3 0,-7-4 0,-4-4 0,-2-4 0,1-3 0,-1-1 0,1-3 0,-1-1 0,0 1 0,-3 3 0,-1 2 0,-3 3 0,-2 3 0,-3 0 0,-6 0 0,-7-3 0,-7-2 0,-8-4 0,-6-2 0,-1-2 0,1 3 0,7 4 0,8 4 0,8 6 0,7 1 0,4 1 0,3 0 0</inkml:trace>
  <inkml:trace contextRef="#ctx0" brushRef="#br0" timeOffset="3250">5992 617 24575,'-12'12'0,"0"3"0,3 5 0,3-1 0,4-4 0,2 1 0,0 9 0,0 19 0,2 20 0,5 14 0,5 3 0,7-12 0,3-14 0,0-18 0,4-14 0,3-8 0,4-8 0,4-2 0,6-6 0,1-6 0,0-9 0,-4-6 0,-11-2 0,-8 0 0,-11 4 0,-5 1 0,-3-4 0,-1-5 0,-1-8 0,0-6 0,-3 0 0,-3 3 0,-5 6 0,-3 6 0,-3 2 0,-5-3 0,-5-3 0,-5-1 0,-4 3 0,2 6 0,5 8 0,8 6 0,6 6 0,4 2 0,1 1 0,-4 1 0,-9 2 0,-7 2 0,-3 0 0,7 0 0,11-3 0,8 1 0,5-3 0,1 2 0</inkml:trace>
  <inkml:trace contextRef="#ctx0" brushRef="#br0" timeOffset="4099">6626 557 24575,'58'45'0,"9"12"0,-26-23 0,-1 0 0,32 28 0,-27-21 0,-20-19 0,-15-13 0,-5-5 0,-1-1 0,2 2 0,1-1 0,-3-1 0,-1-1 0</inkml:trace>
  <inkml:trace contextRef="#ctx0" brushRef="#br0" timeOffset="4899">6877 531 24575,'-4'34'0,"-8"19"0,-7 18 0,-5 7 0,3-10 0,7-22 0,7-18 0,5-17 0,2-7 0</inkml:trace>
  <inkml:trace contextRef="#ctx0" brushRef="#br0" timeOffset="7016">7553 351 24575,'-2'19'0,"1"-1"0,1 2 0,0 0 0,0 1 0,0 0 0,0 4 0,-3 11 0,-3 10 0,-2 10 0,-2 5 0,2-8 0,2-8 0,3-14 0,2-11 0,5-2 0,7 6 0,17 17 0,13 13 0,6 4 0,-3-8 0,-11-19 0,-9-13 0,-8-11 0,-7-4 0,-1-3 0,-3-3 0,-2 2 0,-2-2 0</inkml:trace>
  <inkml:trace contextRef="#ctx0" brushRef="#br0" timeOffset="7916">7908 594 24575,'0'9'0,"0"8"0,0 20 0,8 28 0,5 17 0,5 4 0,0-15 0,-7-25 0,-3-16 0,-5-15 0,0-9 0,-2-2 0,0-3 0</inkml:trace>
  <inkml:trace contextRef="#ctx0" brushRef="#br0" timeOffset="8749">8118 875 24575,'34'-2'0,"24"1"0,21 1 0,11 0 0,-16 0 0,-26 0 0,-21 0 0,-22 0 0,-5 0 0,-3 0 0</inkml:trace>
  <inkml:trace contextRef="#ctx0" brushRef="#br0" timeOffset="10499">8944 574 24575,'-7'-1'0,"-4"-1"0,-7 2 0,-5 0 0,0 0 0,5 0 0,5 0 0,6 0 0,4 1 0,1 1 0,1 1 0,0 2 0,3 2 0,3 1 0,2 2 0,3 3 0,-1 3 0,-1 0 0,-1-2 0,-1-3 0,-3-2 0,-1-2 0,0-3 0,1-1 0,1-3 0,2-1 0,2-4 0,1-3 0,3-2 0,1 0 0,1 1 0,0 1 0,-1 2 0,0 4 0,5 1 0,10 8 0,13 12 0,5 10 0,-2 7 0,-13-4 0,-13-7 0,-11-5 0,-8-4 0,-7-2 0,-3-1 0,-4 0 0,0-2 0,0 0 0,0-2 0,0-1 0,1-2 0,0-2 0,0-2 0,1-2 0,0 0 0,1 0 0,2 0 0,2 0 0,1-1 0,3-2 0,2 0 0,2 0 0,0 2 0</inkml:trace>
  <inkml:trace contextRef="#ctx0" brushRef="#br0" timeOffset="11499">9614 389 24575,'0'27'0,"-5"20"0,-4 13 0,-3 6 0,-2-12 0,5-19 0,4-13 0,2-11 0,3-4 0,-1-4 0,1-2 0</inkml:trace>
  <inkml:trace contextRef="#ctx0" brushRef="#br0" timeOffset="12083">9394 466 24575,'0'0'0</inkml:trace>
  <inkml:trace contextRef="#ctx0" brushRef="#br0" timeOffset="12466">9863 574 24575,'0'0'0</inkml:trace>
  <inkml:trace contextRef="#ctx0" brushRef="#br0" timeOffset="13483">9854 1 24575,'14'7'0,"14"16"0,9 14 0,4 9 0,-11-1 0,-14-12 0,-9-9 0,-6-7 0,-1-1 0,0 6 0,0 11 0,-1 11 0,-3 7 0,-2 6 0,-3 2 0,-2-4 0,0-11 0,2-14 0,0-11 0,3-8 0,1-3 0,2-2 0,0-2 0,-1 0 0,3-3 0,-2 1 0</inkml:trace>
  <inkml:trace contextRef="#ctx0" brushRef="#br0" timeOffset="14349">5844 2022 24575,'37'-2'0,"20"1"0,20 1 0,14 0 0,-9 0 0,-19 0 0,-16 0 0,-23 0 0,-12 0 0,-8 0 0</inkml:trace>
  <inkml:trace contextRef="#ctx0" brushRef="#br0" timeOffset="15049">5969 2243 24575,'24'0'0,"35"0"0,41 0 0,-40 0 0,1 0 0,2 0 0,-3 0 0,28 0 0,-34 0 0,-28 0 0,-19 0 0</inkml:trace>
  <inkml:trace contextRef="#ctx0" brushRef="#br0" timeOffset="16582">7138 1950 24575,'-15'-2'0,"-1"1"0,-2 1 0,3 0 0,5 0 0,5 3 0,3 3 0,1 4 0,1 5 0,0 5 0,-1 4 0,-1 2 0,0-1 0,0-4 0,1-4 0,1-3 0,0-3 0,1-2 0,1-1 0,2-1 0,3-1 0,1 1 0,1 1 0,6 3 0,9 12 0,8 8 0,8 6 0,-2-4 0,-5-11 0,-7-10 0,-7-10 0,-5-6 0,-3-5 0,0-5 0,-2-3 0,-1 2 0,-1 0 0,-3 1 0,-1 1 0,0-1 0,-2 0 0,0 0 0,-3 0 0,-4 2 0,-7 3 0,-6 1 0,-5 2 0,0 2 0,-1 2 0,1 1 0,-2 0 0,-2 1 0,0 1 0,1 0 0,4 1 0,5 1 0,6 0 0,5 0 0,5-2 0,2 0 0</inkml:trace>
  <inkml:trace contextRef="#ctx0" brushRef="#br0" timeOffset="18432">7561 1977 24575,'-5'-2'0,"0"0"0,-1 6 0,0 4 0,-1 6 0,3 6 0,0 1 0,1-2 0,2-2 0,1-4 0,0-4 0,0-1 0,0-1 0,0 0 0,0 0 0,0-1 0,0 2 0,0 1 0,2 1 0,2-1 0,1 1 0,1-1 0,1-1 0,0-1 0,1-1 0,0-2 0,4-2 0,2-2 0,3-2 0,2-3 0,0-4 0,0-2 0,-1-1 0,-3 2 0,-1 0 0,0 1 0,0 0 0,-1-2 0,-2-2 0,-2-1 0,-1-3 0,-3-1 0,-1-2 0,-3 0 0,-1-1 0,-2 2 0,-4 2 0,-6 6 0,-6 5 0,-4 3 0,-3 3 0,0 0 0,0 0 0,2 2 0,2 2 0,4 4 0,4 1 0,2 0 0,4 0 0,3-2 0,3-3 0,1-2 0</inkml:trace>
  <inkml:trace contextRef="#ctx0" brushRef="#br0" timeOffset="19466">8043 1825 24575,'67'47'0,"9"9"0,-32-23 0,0-1 0,35 26 0,-20-16 0,-27-20 0,-15-12 0,-13-10 0,-2-1 0,-2-3 0</inkml:trace>
  <inkml:trace contextRef="#ctx0" brushRef="#br0" timeOffset="20249">8401 1768 24575,'-11'21'0,"-7"12"0,-14 20 0,-8 12 0,-2 4 0,6-10 0,14-19 0,10-16 0,8-15 0,4-6 0,0-3 0</inkml:trace>
  <inkml:trace contextRef="#ctx0" brushRef="#br0" timeOffset="22366">8954 1808 24575,'-14'-17'0,"-7"-7"0,-12-7 0,-6-4 0,3 8 0,4 9 0,8 9 0,6 9 0,3 6 0,1 5 0,1 7 0,3 1 0,2 1 0,3 0 0,3-1 0,1-2 0,1-2 0,1-3 0,1-2 0,3-2 0,2 0 0,3 0 0,2 0 0,3-3 0,3 0 0,1-3 0,-1-1 0,2-1 0,2-1 0,10-1 0,7-1 0,7 1 0,0 1 0,-8 1 0,-10-1 0,-13-1 0,-7-1 0,-6-2 0,-3 0 0,-2 0 0,-4-1 0,-3 0 0,-3 0 0,0 1 0,0 0 0,2 2 0,3 1 0,3 5 0,2 4 0,3 7 0,-1 5 0,1 4 0,0 3 0,1 0 0,1 4 0,5 10 0,11 17 0,6 12 0,3 1 0,-4-11 0,-11-21 0,-5-13 0,-9-11 0,-9-5 0,-7-4 0,-8-2 0,-3-2 0,2-3 0,3-3 0,4-2 0,4-2 0,3 1 0,3 2 0,0 2 0,2 0 0,1 1 0,1-1 0,3 1 0,0-2 0,3-3 0,0-4 0,0 4 0,0-1 0</inkml:trace>
  <inkml:trace contextRef="#ctx0" brushRef="#br0" timeOffset="24199">9569 1738 24575,'-23'0'0,"-1"0"0,-3 0 0,6 0 0,6 0 0,6 0 0,2 0 0,2 0 0,1 1 0,2 0 0,1 2 0,0 2 0,1 1 0,1 3 0,2 2 0,2 2 0,3 2 0,1-1 0,0-2 0,0-2 0,-2-1 0,-1-2 0,0-2 0,-2 0 0,-1-1 0,-1-1 0,-2 1 0,1-1 0,1-1 0,1 0 0,4-3 0,3-3 0,4-4 0,3-2 0,0-1 0,-1 3 0,0 2 0,-1 3 0,1 2 0,0 3 0,0 5 0,-3 6 0,-2 7 0,-3 4 0,-4 2 0,-3 2 0,-4-1 0,-3 0 0,-3-4 0,-3-5 0,1-3 0,0-4 0,-1-2 0,-1-1 0,-4-2 0,-3-1 0,-1-1 0,1-3 0,3-1 0,2 0 0,4 0 0,2-1 0,4-1 0,3 0 0,1 0 0</inkml:trace>
  <inkml:trace contextRef="#ctx0" brushRef="#br0" timeOffset="25499">10187 1644 24575,'0'20'0,"-1"3"0,-2 2 0,-1 0 0,-2-6 0,1-5 0,0-5 0,0 2 0,-4 5 0,-2 5 0,-2 2 0,1-4 0,4-4 0,4-5 0,1-3 0,1-1 0,1-1 0,0 0 0,-1 1 0,-1 0 0,-1 1 0,-2 5 0,-6 9 0,-5 11 0,-5 7 0,1-1 0,5-8 0,5-9 0,6-11 0,3-9 0,2-1 0,0-3 0</inkml:trace>
  <inkml:trace contextRef="#ctx0" brushRef="#br0" timeOffset="26132">9897 1621 24575,'0'0'0</inkml:trace>
  <inkml:trace contextRef="#ctx0" brushRef="#br0" timeOffset="26499">10209 2272 24575,'0'0'0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17T16:42:57.39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26 24575,'1'-1'0,"4"-1"0,4 2 0,3 0 0,1 0 0,3 0 0,7 0 0,7 0 0,8-2 0,3-1 0,-1-1 0,-8 0 0,-10 2 0,-8 1 0,-7 0 0,-5 1 0,-3 0 0</inkml:trace>
  <inkml:trace contextRef="#ctx0" brushRef="#br0" timeOffset="1432">431 7 24575,'7'0'0,"1"0"0,1 0 0,0 0 0,-1 0 0,0 0 0,-1 0 0,-1 0 0,1 0 0,0 0 0,0 0 0,-1 0 0,1 0 0,-1 0 0,0 0 0,-1 0 0,0 0 0,0 0 0,0 0 0,-1 0 0,-1-1 0,-1 0 0,-2-1 0,0 0 0,-1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17T16:43:02.16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0 193 24575,'11'-10'0,"5"-4"0,5-4 0,3-1 0,-2 2 0,-3 6 0,-4 4 0,-3 4 0,-4 2 0,0 1 0,-1 0 0,0 1 0,-1 0 0,1 2 0,0 0 0,0 1 0,-1-1 0,-1 2 0,1-1 0,0 1 0,-1-1 0,-1 1 0,0 1 0,0 0 0,1 1 0,-1 0 0,-1-1 0,0 0 0,-1-1 0,-2-1 0,-3-3 0,-3 1 0,-4-1 0,-2 1 0,1 0 0,1 1 0,2-1 0,1-2 0,2 0 0,2 0 0,-1 0 0,3 0 0,6 0 0,1 0 0,6 0 0,-4 0 0,-1 0 0,-2 0 0,-1 1 0,-1 1 0,0-1 0,0 1 0,0-2 0,0 1 0,0-2 0,-1-2 0,0-2 0,0-5 0,0-2 0,-1-1 0,0 0 0,-1 1 0,0 1 0,0 2 0,0 2 0,-2 2 0,2 3 0,-2 1 0</inkml:trace>
  <inkml:trace contextRef="#ctx0" brushRef="#br0" timeOffset="2750">455 159 24575,'0'-10'0,"0"-3"0,0-3 0,0-4 0,1 1 0,1 2 0,2 2 0,1 2 0,2 2 0,1 1 0,2 3 0,2 3 0,1 1 0,0 2 0,0 1 0,0 0 0,0 1 0,0 1 0,-1 2 0,-1 2 0,-1 1 0,0-1 0,-1-1 0,-2-1 0,-2 1 0,-2 0 0,0 0 0,-1 1 0,2 0 0,-1 0 0,1-1 0,-1 0 0,0 0 0,0-1 0,-2 0 0,1-1 0,-2-1 0,1 1 0,-1 1 0,-3 0 0,-2 1 0,-5 0 0,-2-1 0,-1-1 0,0-2 0,1 0 0,0-1 0,3 0 0,0-2 0,2-3 0,2-2 0,1-1 0,2 0 0,-1 3 0,2 2 0,2 1 0,5 4 0,3 1 0,3 3 0,0 0 0,0-2 0,-1-1 0,-2 0 0,-1-2 0,-1 1 0,-2 0 0,1-1 0,0-1 0,0 0 0,0 0 0,0 0 0,-2-1 0,1-2 0,-1-1 0,0-2 0,0-1 0,0-1 0,0 0 0,1 0 0,-1 1 0,0 1 0,-1 2 0,-1 2 0,0-1 0,-1 2 0,0 0 0,0 0 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43C490-8603-664C-BE98-57A36A0831B3}" name="Table1" displayName="Table1" ref="B1:F6" totalsRowShown="0">
  <autoFilter ref="B1:F6" xr:uid="{5743C490-8603-664C-BE98-57A36A0831B3}"/>
  <tableColumns count="5">
    <tableColumn id="1" xr3:uid="{CA5F586E-3410-EA41-8AAC-486C6D8EE6A9}" name="Product ID"/>
    <tableColumn id="2" xr3:uid="{A3373CC6-9DDE-E945-8828-251E6712D15E}" name="CP"/>
    <tableColumn id="3" xr3:uid="{8C1D1C3F-ACC6-B64E-86A0-804A2211579A}" name="SP"/>
    <tableColumn id="4" xr3:uid="{A8F77D67-631B-3240-820A-DF3893E51044}" name="Profit">
      <calculatedColumnFormula>D2-C2</calculatedColumnFormula>
    </tableColumn>
    <tableColumn id="5" xr3:uid="{BDEF2288-F83A-6846-AF3F-1B36EB1F2358}" name="SP_Disc">
      <calculatedColumnFormula>D2*(1-$J$12)</calculatedColumnFormula>
    </tableColumn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AFE94C2-2EAB-E742-AD3B-077A4DF0D00D}" name="sales" displayName="sales" ref="A1:D53">
  <autoFilter ref="A1:D53" xr:uid="{BAFE94C2-2EAB-E742-AD3B-077A4DF0D00D}"/>
  <sortState xmlns:xlrd2="http://schemas.microsoft.com/office/spreadsheetml/2017/richdata2" ref="A2:D53">
    <sortCondition ref="B1:B53"/>
  </sortState>
  <tableColumns count="4">
    <tableColumn id="1" xr3:uid="{AE75F4E2-E9BC-4643-8A16-4D7008BC2263}" name="DATE" totalsRowLabel="Total" dataDxfId="0"/>
    <tableColumn id="2" xr3:uid="{72AA287C-6967-544B-BDBB-36425B839755}" name="PRODUCT ID"/>
    <tableColumn id="3" xr3:uid="{6D951F68-B76B-AE49-BB10-5D87C620574F}" name="QUANTITY"/>
    <tableColumn id="4" xr3:uid="{19936657-788F-2648-A08C-8879F5D10EB8}" name="SALE TYPE" totalsRowFunction="count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B03FE-33D9-0B4C-B2B2-FCB35E90E868}">
  <dimension ref="A6:G97"/>
  <sheetViews>
    <sheetView tabSelected="1" topLeftCell="A88" zoomScale="336" workbookViewId="0">
      <selection activeCell="B93" sqref="B93"/>
    </sheetView>
  </sheetViews>
  <sheetFormatPr baseColWidth="10" defaultRowHeight="16" x14ac:dyDescent="0.2"/>
  <sheetData>
    <row r="6" spans="2:3" x14ac:dyDescent="0.2">
      <c r="B6" t="s">
        <v>6</v>
      </c>
    </row>
    <row r="13" spans="2:3" x14ac:dyDescent="0.2">
      <c r="C13" t="s">
        <v>9</v>
      </c>
    </row>
    <row r="27" spans="2:3" x14ac:dyDescent="0.2">
      <c r="B27" t="s">
        <v>0</v>
      </c>
    </row>
    <row r="30" spans="2:3" x14ac:dyDescent="0.2">
      <c r="B30" t="s">
        <v>11</v>
      </c>
      <c r="C30" t="s">
        <v>12</v>
      </c>
    </row>
    <row r="33" spans="2:7" x14ac:dyDescent="0.2">
      <c r="B33" t="s">
        <v>13</v>
      </c>
      <c r="D33" s="1" t="s">
        <v>15</v>
      </c>
      <c r="E33" s="1"/>
      <c r="G33" t="s">
        <v>21</v>
      </c>
    </row>
    <row r="34" spans="2:7" x14ac:dyDescent="0.2">
      <c r="B34" t="s">
        <v>14</v>
      </c>
      <c r="D34" s="1" t="s">
        <v>16</v>
      </c>
      <c r="E34" s="1"/>
      <c r="G34" t="s">
        <v>17</v>
      </c>
    </row>
    <row r="35" spans="2:7" x14ac:dyDescent="0.2">
      <c r="D35" s="1"/>
      <c r="E35" s="1"/>
    </row>
    <row r="36" spans="2:7" x14ac:dyDescent="0.2">
      <c r="B36" t="s">
        <v>22</v>
      </c>
      <c r="D36" s="1" t="s">
        <v>25</v>
      </c>
      <c r="E36" s="1"/>
      <c r="G36" t="s">
        <v>23</v>
      </c>
    </row>
    <row r="37" spans="2:7" x14ac:dyDescent="0.2">
      <c r="B37" t="s">
        <v>24</v>
      </c>
      <c r="D37" s="1" t="s">
        <v>25</v>
      </c>
      <c r="E37" s="1"/>
      <c r="G37" t="s">
        <v>26</v>
      </c>
    </row>
    <row r="43" spans="2:7" x14ac:dyDescent="0.2">
      <c r="C43">
        <f>$J12</f>
        <v>0</v>
      </c>
      <c r="D43">
        <f>$J12</f>
        <v>0</v>
      </c>
      <c r="E43">
        <f>$J12</f>
        <v>0</v>
      </c>
    </row>
    <row r="44" spans="2:7" x14ac:dyDescent="0.2">
      <c r="C44">
        <f>$J13</f>
        <v>0</v>
      </c>
    </row>
    <row r="45" spans="2:7" x14ac:dyDescent="0.2">
      <c r="C45">
        <f t="shared" ref="C44:C46" si="0">$J14</f>
        <v>0</v>
      </c>
    </row>
    <row r="46" spans="2:7" x14ac:dyDescent="0.2">
      <c r="C46">
        <f t="shared" si="0"/>
        <v>0</v>
      </c>
    </row>
    <row r="49" spans="1:6" x14ac:dyDescent="0.2">
      <c r="A49" s="1"/>
      <c r="B49" s="1"/>
      <c r="C49" s="1"/>
      <c r="D49" s="1"/>
      <c r="E49" s="1"/>
      <c r="F49" s="1"/>
    </row>
    <row r="51" spans="1:6" x14ac:dyDescent="0.2">
      <c r="B51" t="s">
        <v>27</v>
      </c>
      <c r="D51" t="s">
        <v>32</v>
      </c>
    </row>
    <row r="54" spans="1:6" x14ac:dyDescent="0.2">
      <c r="B54" t="s">
        <v>28</v>
      </c>
      <c r="D54" t="s">
        <v>29</v>
      </c>
    </row>
    <row r="56" spans="1:6" x14ac:dyDescent="0.2">
      <c r="B56" t="s">
        <v>30</v>
      </c>
      <c r="E56" t="s">
        <v>31</v>
      </c>
    </row>
    <row r="58" spans="1:6" x14ac:dyDescent="0.2">
      <c r="E58" t="s">
        <v>33</v>
      </c>
    </row>
    <row r="60" spans="1:6" x14ac:dyDescent="0.2">
      <c r="B60" cm="1">
        <f t="array" ref="B60:C63">Sheet2!E11:F14</f>
        <v>1</v>
      </c>
      <c r="C60">
        <v>-15</v>
      </c>
    </row>
    <row r="61" spans="1:6" x14ac:dyDescent="0.2">
      <c r="B61">
        <v>2</v>
      </c>
      <c r="C61">
        <v>-20</v>
      </c>
    </row>
    <row r="62" spans="1:6" x14ac:dyDescent="0.2">
      <c r="B62">
        <v>3</v>
      </c>
      <c r="C62">
        <v>-25</v>
      </c>
    </row>
    <row r="63" spans="1:6" x14ac:dyDescent="0.2">
      <c r="B63">
        <v>4</v>
      </c>
      <c r="C63">
        <v>-30</v>
      </c>
    </row>
    <row r="66" spans="2:7" x14ac:dyDescent="0.2">
      <c r="B66" s="1"/>
      <c r="C66" s="1"/>
      <c r="D66" s="1"/>
      <c r="E66" s="1"/>
      <c r="F66" s="1"/>
      <c r="G66" s="1"/>
    </row>
    <row r="69" spans="2:7" x14ac:dyDescent="0.2">
      <c r="B69" t="s">
        <v>53</v>
      </c>
      <c r="E69" t="s">
        <v>54</v>
      </c>
    </row>
    <row r="71" spans="2:7" x14ac:dyDescent="0.2">
      <c r="E71" t="s">
        <v>55</v>
      </c>
    </row>
    <row r="73" spans="2:7" x14ac:dyDescent="0.2">
      <c r="B73" t="s">
        <v>56</v>
      </c>
      <c r="E73" t="s">
        <v>57</v>
      </c>
    </row>
    <row r="76" spans="2:7" x14ac:dyDescent="0.2">
      <c r="B76" s="1"/>
      <c r="C76" s="1"/>
      <c r="D76" s="1"/>
      <c r="E76" s="1"/>
      <c r="F76" s="1"/>
    </row>
    <row r="79" spans="2:7" x14ac:dyDescent="0.2">
      <c r="B79" t="s">
        <v>58</v>
      </c>
    </row>
    <row r="81" spans="2:5" x14ac:dyDescent="0.2">
      <c r="B81" t="s">
        <v>59</v>
      </c>
    </row>
    <row r="83" spans="2:5" x14ac:dyDescent="0.2">
      <c r="B83" t="s">
        <v>60</v>
      </c>
    </row>
    <row r="85" spans="2:5" x14ac:dyDescent="0.2">
      <c r="B85" t="s">
        <v>61</v>
      </c>
    </row>
    <row r="87" spans="2:5" x14ac:dyDescent="0.2">
      <c r="B87" t="s">
        <v>62</v>
      </c>
    </row>
    <row r="89" spans="2:5" x14ac:dyDescent="0.2">
      <c r="B89" t="s">
        <v>63</v>
      </c>
    </row>
    <row r="92" spans="2:5" x14ac:dyDescent="0.2">
      <c r="B92" s="1"/>
      <c r="C92" s="1"/>
      <c r="D92" s="1"/>
      <c r="E92" s="1"/>
    </row>
    <row r="95" spans="2:5" x14ac:dyDescent="0.2">
      <c r="B95" t="s">
        <v>70</v>
      </c>
    </row>
    <row r="97" spans="2:2" x14ac:dyDescent="0.2">
      <c r="B97" t="s">
        <v>71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48A56-5A93-8B43-AD01-3AD492A2FDFD}">
  <dimension ref="B2:J104"/>
  <sheetViews>
    <sheetView topLeftCell="D14" zoomScale="214" workbookViewId="0">
      <selection activeCell="F28" sqref="F28"/>
    </sheetView>
  </sheetViews>
  <sheetFormatPr baseColWidth="10" defaultRowHeight="16" x14ac:dyDescent="0.2"/>
  <sheetData>
    <row r="2" spans="2:10" x14ac:dyDescent="0.2">
      <c r="B2" t="s">
        <v>1</v>
      </c>
    </row>
    <row r="4" spans="2:10" x14ac:dyDescent="0.2">
      <c r="B4">
        <v>1</v>
      </c>
      <c r="C4">
        <v>10</v>
      </c>
      <c r="E4">
        <v>1</v>
      </c>
      <c r="G4">
        <v>100</v>
      </c>
    </row>
    <row r="5" spans="2:10" x14ac:dyDescent="0.2">
      <c r="B5">
        <v>2</v>
      </c>
      <c r="C5">
        <v>20</v>
      </c>
      <c r="E5">
        <v>2</v>
      </c>
      <c r="G5">
        <v>150</v>
      </c>
    </row>
    <row r="6" spans="2:10" x14ac:dyDescent="0.2">
      <c r="B6">
        <v>3</v>
      </c>
      <c r="C6">
        <v>30</v>
      </c>
      <c r="G6">
        <v>200</v>
      </c>
    </row>
    <row r="7" spans="2:10" x14ac:dyDescent="0.2">
      <c r="B7">
        <v>4</v>
      </c>
      <c r="C7">
        <v>40</v>
      </c>
      <c r="G7">
        <v>250</v>
      </c>
    </row>
    <row r="8" spans="2:10" x14ac:dyDescent="0.2">
      <c r="B8">
        <v>5</v>
      </c>
      <c r="C8">
        <v>50</v>
      </c>
      <c r="G8">
        <v>300</v>
      </c>
    </row>
    <row r="9" spans="2:10" x14ac:dyDescent="0.2">
      <c r="B9">
        <v>6</v>
      </c>
      <c r="C9">
        <v>60</v>
      </c>
    </row>
    <row r="10" spans="2:10" x14ac:dyDescent="0.2">
      <c r="B10">
        <v>7</v>
      </c>
      <c r="C10">
        <v>70</v>
      </c>
    </row>
    <row r="11" spans="2:10" x14ac:dyDescent="0.2">
      <c r="B11">
        <v>8</v>
      </c>
      <c r="C11">
        <v>80</v>
      </c>
      <c r="E11" s="1">
        <v>1</v>
      </c>
      <c r="F11" s="1">
        <v>-15</v>
      </c>
      <c r="H11">
        <v>2</v>
      </c>
    </row>
    <row r="12" spans="2:10" x14ac:dyDescent="0.2">
      <c r="B12">
        <v>9</v>
      </c>
      <c r="C12">
        <v>90</v>
      </c>
      <c r="E12" s="1">
        <v>2</v>
      </c>
      <c r="F12" s="1">
        <v>-20</v>
      </c>
      <c r="H12">
        <v>4</v>
      </c>
      <c r="J12">
        <v>2</v>
      </c>
    </row>
    <row r="13" spans="2:10" x14ac:dyDescent="0.2">
      <c r="E13" s="1">
        <v>3</v>
      </c>
      <c r="F13" s="1">
        <v>-25</v>
      </c>
      <c r="H13">
        <v>6</v>
      </c>
      <c r="J13">
        <v>4</v>
      </c>
    </row>
    <row r="14" spans="2:10" x14ac:dyDescent="0.2">
      <c r="E14" s="1">
        <v>4</v>
      </c>
      <c r="F14" s="1">
        <v>-30</v>
      </c>
      <c r="H14">
        <v>8</v>
      </c>
    </row>
    <row r="15" spans="2:10" x14ac:dyDescent="0.2">
      <c r="E15">
        <v>5</v>
      </c>
      <c r="F15">
        <v>-35</v>
      </c>
      <c r="H15">
        <v>10</v>
      </c>
    </row>
    <row r="16" spans="2:10" x14ac:dyDescent="0.2">
      <c r="B16" cm="1">
        <f t="array" ref="B16:C19">E11:F14</f>
        <v>1</v>
      </c>
      <c r="C16">
        <v>-15</v>
      </c>
      <c r="E16">
        <v>6</v>
      </c>
      <c r="F16">
        <v>-40</v>
      </c>
      <c r="H16">
        <v>12</v>
      </c>
    </row>
    <row r="17" spans="2:6" x14ac:dyDescent="0.2">
      <c r="B17">
        <v>2</v>
      </c>
      <c r="C17">
        <v>-20</v>
      </c>
      <c r="E17">
        <v>7</v>
      </c>
      <c r="F17">
        <v>-45</v>
      </c>
    </row>
    <row r="18" spans="2:6" x14ac:dyDescent="0.2">
      <c r="B18">
        <v>3</v>
      </c>
      <c r="C18">
        <v>-25</v>
      </c>
      <c r="E18">
        <v>8</v>
      </c>
      <c r="F18">
        <v>-50</v>
      </c>
    </row>
    <row r="19" spans="2:6" x14ac:dyDescent="0.2">
      <c r="B19">
        <v>4</v>
      </c>
      <c r="C19">
        <v>-30</v>
      </c>
      <c r="E19">
        <v>9</v>
      </c>
    </row>
    <row r="20" spans="2:6" x14ac:dyDescent="0.2">
      <c r="E20">
        <v>10</v>
      </c>
    </row>
    <row r="28" spans="2:6" x14ac:dyDescent="0.2">
      <c r="E28" t="s">
        <v>66</v>
      </c>
      <c r="F28">
        <v>3.14</v>
      </c>
    </row>
    <row r="53" spans="3:6" x14ac:dyDescent="0.2">
      <c r="C53" cm="1">
        <f t="array" ref="C53:F104">sales[]</f>
        <v>44205</v>
      </c>
      <c r="D53" t="str">
        <v>P0003</v>
      </c>
      <c r="E53">
        <v>8</v>
      </c>
      <c r="F53" t="str">
        <v>Direct Sales</v>
      </c>
    </row>
    <row r="54" spans="3:6" x14ac:dyDescent="0.2">
      <c r="C54">
        <v>44205</v>
      </c>
      <c r="D54" t="str">
        <v>P0003</v>
      </c>
      <c r="E54">
        <v>8</v>
      </c>
      <c r="F54" t="str">
        <v>Direct Sales</v>
      </c>
    </row>
    <row r="55" spans="3:6" x14ac:dyDescent="0.2">
      <c r="C55">
        <v>44205</v>
      </c>
      <c r="D55" t="str">
        <v>P0003</v>
      </c>
      <c r="E55">
        <v>8</v>
      </c>
      <c r="F55" t="str">
        <v>Direct Sales</v>
      </c>
    </row>
    <row r="56" spans="3:6" x14ac:dyDescent="0.2">
      <c r="C56">
        <v>44205</v>
      </c>
      <c r="D56" t="str">
        <v>P0003</v>
      </c>
      <c r="E56">
        <v>8</v>
      </c>
      <c r="F56" t="str">
        <v>Direct Sales</v>
      </c>
    </row>
    <row r="57" spans="3:6" x14ac:dyDescent="0.2">
      <c r="C57">
        <v>44199</v>
      </c>
      <c r="D57" t="str">
        <v>P0004</v>
      </c>
      <c r="E57">
        <v>5</v>
      </c>
      <c r="F57" t="str">
        <v>Direct Sales</v>
      </c>
    </row>
    <row r="58" spans="3:6" x14ac:dyDescent="0.2">
      <c r="C58">
        <v>44199</v>
      </c>
      <c r="D58" t="str">
        <v>P0004</v>
      </c>
      <c r="E58">
        <v>5</v>
      </c>
      <c r="F58" t="str">
        <v>Direct Sales</v>
      </c>
    </row>
    <row r="59" spans="3:6" x14ac:dyDescent="0.2">
      <c r="C59">
        <v>44199</v>
      </c>
      <c r="D59" t="str">
        <v>P0004</v>
      </c>
      <c r="E59">
        <v>5</v>
      </c>
      <c r="F59" t="str">
        <v>Direct Sales</v>
      </c>
    </row>
    <row r="60" spans="3:6" x14ac:dyDescent="0.2">
      <c r="C60">
        <v>44199</v>
      </c>
      <c r="D60" t="str">
        <v>P0004</v>
      </c>
      <c r="E60">
        <v>5</v>
      </c>
      <c r="F60" t="str">
        <v>Direct Sales</v>
      </c>
    </row>
    <row r="61" spans="3:6" x14ac:dyDescent="0.2">
      <c r="C61">
        <v>44198</v>
      </c>
      <c r="D61" t="str">
        <v>P0013</v>
      </c>
      <c r="E61">
        <v>6</v>
      </c>
      <c r="F61" t="str">
        <v>Direct Sales</v>
      </c>
    </row>
    <row r="62" spans="3:6" x14ac:dyDescent="0.2">
      <c r="C62">
        <v>44198</v>
      </c>
      <c r="D62" t="str">
        <v>P0013</v>
      </c>
      <c r="E62">
        <v>6</v>
      </c>
      <c r="F62" t="str">
        <v>Direct Sales</v>
      </c>
    </row>
    <row r="63" spans="3:6" x14ac:dyDescent="0.2">
      <c r="C63">
        <v>44198</v>
      </c>
      <c r="D63" t="str">
        <v>P0013</v>
      </c>
      <c r="E63">
        <v>6</v>
      </c>
      <c r="F63" t="str">
        <v>Direct Sales</v>
      </c>
    </row>
    <row r="64" spans="3:6" x14ac:dyDescent="0.2">
      <c r="C64">
        <v>44198</v>
      </c>
      <c r="D64" t="str">
        <v>P0013</v>
      </c>
      <c r="E64">
        <v>6</v>
      </c>
      <c r="F64" t="str">
        <v>Direct Sales</v>
      </c>
    </row>
    <row r="65" spans="3:6" x14ac:dyDescent="0.2">
      <c r="C65">
        <v>44207</v>
      </c>
      <c r="D65" t="str">
        <v>P0014</v>
      </c>
      <c r="E65">
        <v>4</v>
      </c>
      <c r="F65" t="str">
        <v>Wholesaler</v>
      </c>
    </row>
    <row r="66" spans="3:6" x14ac:dyDescent="0.2">
      <c r="C66">
        <v>44207</v>
      </c>
      <c r="D66" t="str">
        <v>P0014</v>
      </c>
      <c r="E66">
        <v>4</v>
      </c>
      <c r="F66" t="str">
        <v>Wholesaler</v>
      </c>
    </row>
    <row r="67" spans="3:6" x14ac:dyDescent="0.2">
      <c r="C67">
        <v>44207</v>
      </c>
      <c r="D67" t="str">
        <v>P0014</v>
      </c>
      <c r="E67">
        <v>4</v>
      </c>
      <c r="F67" t="str">
        <v>Wholesaler</v>
      </c>
    </row>
    <row r="68" spans="3:6" x14ac:dyDescent="0.2">
      <c r="C68">
        <v>44207</v>
      </c>
      <c r="D68" t="str">
        <v>P0014</v>
      </c>
      <c r="E68">
        <v>4</v>
      </c>
      <c r="F68" t="str">
        <v>Wholesaler</v>
      </c>
    </row>
    <row r="69" spans="3:6" x14ac:dyDescent="0.2">
      <c r="C69">
        <v>44197</v>
      </c>
      <c r="D69" t="str">
        <v>P0024</v>
      </c>
      <c r="E69">
        <v>9</v>
      </c>
      <c r="F69" t="str">
        <v>Wholesaler</v>
      </c>
    </row>
    <row r="70" spans="3:6" x14ac:dyDescent="0.2">
      <c r="C70">
        <v>44197</v>
      </c>
      <c r="D70" t="str">
        <v>P0024</v>
      </c>
      <c r="E70">
        <v>9</v>
      </c>
      <c r="F70" t="str">
        <v>Wholesaler</v>
      </c>
    </row>
    <row r="71" spans="3:6" x14ac:dyDescent="0.2">
      <c r="C71">
        <v>44197</v>
      </c>
      <c r="D71" t="str">
        <v>P0024</v>
      </c>
      <c r="E71">
        <v>9</v>
      </c>
      <c r="F71" t="str">
        <v>Wholesaler</v>
      </c>
    </row>
    <row r="72" spans="3:6" x14ac:dyDescent="0.2">
      <c r="C72">
        <v>44197</v>
      </c>
      <c r="D72" t="str">
        <v>P0024</v>
      </c>
      <c r="E72">
        <v>9</v>
      </c>
      <c r="F72" t="str">
        <v>Wholesaler</v>
      </c>
    </row>
    <row r="73" spans="3:6" x14ac:dyDescent="0.2">
      <c r="C73">
        <v>44205</v>
      </c>
      <c r="D73" t="str">
        <v>P0025</v>
      </c>
      <c r="E73">
        <v>4</v>
      </c>
      <c r="F73" t="str">
        <v>Direct Sales</v>
      </c>
    </row>
    <row r="74" spans="3:6" x14ac:dyDescent="0.2">
      <c r="C74">
        <v>44205</v>
      </c>
      <c r="D74" t="str">
        <v>P0025</v>
      </c>
      <c r="E74">
        <v>4</v>
      </c>
      <c r="F74" t="str">
        <v>Direct Sales</v>
      </c>
    </row>
    <row r="75" spans="3:6" x14ac:dyDescent="0.2">
      <c r="C75">
        <v>44205</v>
      </c>
      <c r="D75" t="str">
        <v>P0025</v>
      </c>
      <c r="E75">
        <v>4</v>
      </c>
      <c r="F75" t="str">
        <v>Direct Sales</v>
      </c>
    </row>
    <row r="76" spans="3:6" x14ac:dyDescent="0.2">
      <c r="C76">
        <v>44205</v>
      </c>
      <c r="D76" t="str">
        <v>P0025</v>
      </c>
      <c r="E76">
        <v>4</v>
      </c>
      <c r="F76" t="str">
        <v>Direct Sales</v>
      </c>
    </row>
    <row r="77" spans="3:6" x14ac:dyDescent="0.2">
      <c r="C77">
        <v>44205</v>
      </c>
      <c r="D77" t="str">
        <v>P0031</v>
      </c>
      <c r="E77">
        <v>1</v>
      </c>
      <c r="F77" t="str">
        <v>Direct Sales</v>
      </c>
    </row>
    <row r="78" spans="3:6" x14ac:dyDescent="0.2">
      <c r="C78">
        <v>44205</v>
      </c>
      <c r="D78" t="str">
        <v>P0031</v>
      </c>
      <c r="E78">
        <v>1</v>
      </c>
      <c r="F78" t="str">
        <v>Direct Sales</v>
      </c>
    </row>
    <row r="79" spans="3:6" x14ac:dyDescent="0.2">
      <c r="C79">
        <v>44205</v>
      </c>
      <c r="D79" t="str">
        <v>P0031</v>
      </c>
      <c r="E79">
        <v>1</v>
      </c>
      <c r="F79" t="str">
        <v>Direct Sales</v>
      </c>
    </row>
    <row r="80" spans="3:6" x14ac:dyDescent="0.2">
      <c r="C80">
        <v>44205</v>
      </c>
      <c r="D80" t="str">
        <v>P0031</v>
      </c>
      <c r="E80">
        <v>1</v>
      </c>
      <c r="F80" t="str">
        <v>Direct Sales</v>
      </c>
    </row>
    <row r="81" spans="3:6" x14ac:dyDescent="0.2">
      <c r="C81">
        <v>44200</v>
      </c>
      <c r="D81" t="str">
        <v>P0035</v>
      </c>
      <c r="E81">
        <v>12</v>
      </c>
      <c r="F81" t="str">
        <v>Online</v>
      </c>
    </row>
    <row r="82" spans="3:6" x14ac:dyDescent="0.2">
      <c r="C82">
        <v>44200</v>
      </c>
      <c r="D82" t="str">
        <v>P0035</v>
      </c>
      <c r="E82">
        <v>12</v>
      </c>
      <c r="F82" t="str">
        <v>Online</v>
      </c>
    </row>
    <row r="83" spans="3:6" x14ac:dyDescent="0.2">
      <c r="C83">
        <v>44200</v>
      </c>
      <c r="D83" t="str">
        <v>P0035</v>
      </c>
      <c r="E83">
        <v>12</v>
      </c>
      <c r="F83" t="str">
        <v>Online</v>
      </c>
    </row>
    <row r="84" spans="3:6" x14ac:dyDescent="0.2">
      <c r="C84">
        <v>44200</v>
      </c>
      <c r="D84" t="str">
        <v>P0035</v>
      </c>
      <c r="E84">
        <v>12</v>
      </c>
      <c r="F84" t="str">
        <v>Online</v>
      </c>
    </row>
    <row r="85" spans="3:6" x14ac:dyDescent="0.2">
      <c r="C85">
        <v>44207</v>
      </c>
      <c r="D85" t="str">
        <v>P0037</v>
      </c>
      <c r="E85">
        <v>3</v>
      </c>
      <c r="F85" t="str">
        <v>Direct Sales</v>
      </c>
    </row>
    <row r="86" spans="3:6" x14ac:dyDescent="0.2">
      <c r="C86">
        <v>44207</v>
      </c>
      <c r="D86" t="str">
        <v>P0037</v>
      </c>
      <c r="E86">
        <v>3</v>
      </c>
      <c r="F86" t="str">
        <v>Direct Sales</v>
      </c>
    </row>
    <row r="87" spans="3:6" x14ac:dyDescent="0.2">
      <c r="C87">
        <v>44207</v>
      </c>
      <c r="D87" t="str">
        <v>P0037</v>
      </c>
      <c r="E87">
        <v>3</v>
      </c>
      <c r="F87" t="str">
        <v>Direct Sales</v>
      </c>
    </row>
    <row r="88" spans="3:6" x14ac:dyDescent="0.2">
      <c r="C88">
        <v>44207</v>
      </c>
      <c r="D88" t="str">
        <v>P0037</v>
      </c>
      <c r="E88">
        <v>3</v>
      </c>
      <c r="F88" t="str">
        <v>Direct Sales</v>
      </c>
    </row>
    <row r="89" spans="3:6" x14ac:dyDescent="0.2">
      <c r="C89">
        <v>44198</v>
      </c>
      <c r="D89" t="str">
        <v>P0038</v>
      </c>
      <c r="E89">
        <v>15</v>
      </c>
      <c r="F89" t="str">
        <v>Online</v>
      </c>
    </row>
    <row r="90" spans="3:6" x14ac:dyDescent="0.2">
      <c r="C90">
        <v>44198</v>
      </c>
      <c r="D90" t="str">
        <v>P0038</v>
      </c>
      <c r="E90">
        <v>15</v>
      </c>
      <c r="F90" t="str">
        <v>Online</v>
      </c>
    </row>
    <row r="91" spans="3:6" x14ac:dyDescent="0.2">
      <c r="C91">
        <v>44198</v>
      </c>
      <c r="D91" t="str">
        <v>P0038</v>
      </c>
      <c r="E91">
        <v>15</v>
      </c>
      <c r="F91" t="str">
        <v>Online</v>
      </c>
    </row>
    <row r="92" spans="3:6" x14ac:dyDescent="0.2">
      <c r="C92">
        <v>44198</v>
      </c>
      <c r="D92" t="str">
        <v>P0038</v>
      </c>
      <c r="E92">
        <v>15</v>
      </c>
      <c r="F92" t="str">
        <v>Online</v>
      </c>
    </row>
    <row r="93" spans="3:6" x14ac:dyDescent="0.2">
      <c r="C93">
        <v>44208</v>
      </c>
      <c r="D93" t="str">
        <v>P0042</v>
      </c>
      <c r="E93">
        <v>10</v>
      </c>
      <c r="F93" t="str">
        <v>Online</v>
      </c>
    </row>
    <row r="94" spans="3:6" x14ac:dyDescent="0.2">
      <c r="C94">
        <v>44208</v>
      </c>
      <c r="D94" t="str">
        <v>P0042</v>
      </c>
      <c r="E94">
        <v>10</v>
      </c>
      <c r="F94" t="str">
        <v>Online</v>
      </c>
    </row>
    <row r="95" spans="3:6" x14ac:dyDescent="0.2">
      <c r="C95">
        <v>44208</v>
      </c>
      <c r="D95" t="str">
        <v>P0042</v>
      </c>
      <c r="E95">
        <v>10</v>
      </c>
      <c r="F95" t="str">
        <v>Online</v>
      </c>
    </row>
    <row r="96" spans="3:6" x14ac:dyDescent="0.2">
      <c r="C96">
        <v>44208</v>
      </c>
      <c r="D96" t="str">
        <v>P0042</v>
      </c>
      <c r="E96">
        <v>10</v>
      </c>
      <c r="F96" t="str">
        <v>Online</v>
      </c>
    </row>
    <row r="97" spans="3:6" x14ac:dyDescent="0.2">
      <c r="C97">
        <v>44207</v>
      </c>
      <c r="D97" t="str">
        <v>P0042</v>
      </c>
      <c r="E97">
        <v>4</v>
      </c>
      <c r="F97" t="str">
        <v>Direct Sales</v>
      </c>
    </row>
    <row r="98" spans="3:6" x14ac:dyDescent="0.2">
      <c r="C98">
        <v>44207</v>
      </c>
      <c r="D98" t="str">
        <v>P0042</v>
      </c>
      <c r="E98">
        <v>4</v>
      </c>
      <c r="F98" t="str">
        <v>Direct Sales</v>
      </c>
    </row>
    <row r="99" spans="3:6" x14ac:dyDescent="0.2">
      <c r="C99">
        <v>44207</v>
      </c>
      <c r="D99" t="str">
        <v>P0042</v>
      </c>
      <c r="E99">
        <v>4</v>
      </c>
      <c r="F99" t="str">
        <v>Direct Sales</v>
      </c>
    </row>
    <row r="100" spans="3:6" x14ac:dyDescent="0.2">
      <c r="C100">
        <v>44207</v>
      </c>
      <c r="D100" t="str">
        <v>P0042</v>
      </c>
      <c r="E100">
        <v>4</v>
      </c>
      <c r="F100" t="str">
        <v>Direct Sales</v>
      </c>
    </row>
    <row r="101" spans="3:6" x14ac:dyDescent="0.2">
      <c r="C101">
        <v>44214</v>
      </c>
      <c r="D101" t="str">
        <v>P0044</v>
      </c>
      <c r="E101">
        <v>13</v>
      </c>
      <c r="F101" t="str">
        <v>Direct Sales</v>
      </c>
    </row>
    <row r="102" spans="3:6" x14ac:dyDescent="0.2">
      <c r="C102">
        <v>44214</v>
      </c>
      <c r="D102" t="str">
        <v>P0044</v>
      </c>
      <c r="E102">
        <v>13</v>
      </c>
      <c r="F102" t="str">
        <v>Direct Sales</v>
      </c>
    </row>
    <row r="103" spans="3:6" x14ac:dyDescent="0.2">
      <c r="C103">
        <v>44214</v>
      </c>
      <c r="D103" t="str">
        <v>P0044</v>
      </c>
      <c r="E103">
        <v>13</v>
      </c>
      <c r="F103" t="str">
        <v>Direct Sales</v>
      </c>
    </row>
    <row r="104" spans="3:6" x14ac:dyDescent="0.2">
      <c r="C104">
        <v>44214</v>
      </c>
      <c r="D104" t="str">
        <v>P0044</v>
      </c>
      <c r="E104">
        <v>13</v>
      </c>
      <c r="F104" t="str">
        <v>Direct Sales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B4E43-4514-1D48-92EC-70F74341257D}">
  <dimension ref="A1:J35"/>
  <sheetViews>
    <sheetView topLeftCell="B25" zoomScale="235" workbookViewId="0">
      <selection activeCell="D34" sqref="D34"/>
    </sheetView>
  </sheetViews>
  <sheetFormatPr baseColWidth="10" defaultRowHeight="16" x14ac:dyDescent="0.2"/>
  <sheetData>
    <row r="1" spans="1:10" x14ac:dyDescent="0.2">
      <c r="B1" t="s">
        <v>2</v>
      </c>
      <c r="C1" t="s">
        <v>3</v>
      </c>
      <c r="D1" t="s">
        <v>4</v>
      </c>
      <c r="E1" t="s">
        <v>5</v>
      </c>
      <c r="F1" t="s">
        <v>7</v>
      </c>
    </row>
    <row r="2" spans="1:10" x14ac:dyDescent="0.2">
      <c r="B2" t="s">
        <v>18</v>
      </c>
      <c r="C2">
        <v>30</v>
      </c>
      <c r="D2">
        <v>60</v>
      </c>
      <c r="E2">
        <f>D2-C2</f>
        <v>30</v>
      </c>
      <c r="F2">
        <f>D2*(1-$J$12)</f>
        <v>57</v>
      </c>
    </row>
    <row r="3" spans="1:10" x14ac:dyDescent="0.2">
      <c r="A3" s="1"/>
      <c r="B3" s="1" t="s">
        <v>19</v>
      </c>
      <c r="C3" s="1">
        <v>20</v>
      </c>
      <c r="D3" s="1">
        <v>67</v>
      </c>
      <c r="E3">
        <f>D3-C3</f>
        <v>47</v>
      </c>
      <c r="F3">
        <f t="shared" ref="F3:F6" si="0">D3*(1-$J$12)</f>
        <v>63.65</v>
      </c>
    </row>
    <row r="4" spans="1:10" x14ac:dyDescent="0.2">
      <c r="B4" t="s">
        <v>20</v>
      </c>
      <c r="C4">
        <v>54</v>
      </c>
      <c r="D4">
        <v>90</v>
      </c>
      <c r="E4">
        <f t="shared" ref="E3:E8" si="1">D4-C4</f>
        <v>36</v>
      </c>
      <c r="F4">
        <f t="shared" si="0"/>
        <v>85.5</v>
      </c>
    </row>
    <row r="5" spans="1:10" x14ac:dyDescent="0.2">
      <c r="B5">
        <v>4</v>
      </c>
      <c r="C5">
        <v>36</v>
      </c>
      <c r="D5">
        <v>98</v>
      </c>
      <c r="E5">
        <f t="shared" si="1"/>
        <v>62</v>
      </c>
      <c r="F5">
        <f t="shared" si="0"/>
        <v>93.1</v>
      </c>
    </row>
    <row r="6" spans="1:10" x14ac:dyDescent="0.2">
      <c r="B6">
        <v>5</v>
      </c>
      <c r="C6">
        <v>36</v>
      </c>
      <c r="D6">
        <v>98</v>
      </c>
      <c r="E6">
        <f t="shared" si="1"/>
        <v>62</v>
      </c>
      <c r="F6">
        <f t="shared" si="0"/>
        <v>93.1</v>
      </c>
    </row>
    <row r="11" spans="1:10" x14ac:dyDescent="0.2">
      <c r="H11" t="s">
        <v>10</v>
      </c>
    </row>
    <row r="12" spans="1:10" x14ac:dyDescent="0.2">
      <c r="B12" t="s">
        <v>18</v>
      </c>
      <c r="C12">
        <v>30</v>
      </c>
      <c r="D12">
        <v>60</v>
      </c>
      <c r="E12">
        <f>D12-C12</f>
        <v>30</v>
      </c>
      <c r="F12">
        <f>D12*(1-$J$12)</f>
        <v>57</v>
      </c>
      <c r="I12" t="s">
        <v>8</v>
      </c>
      <c r="J12" s="2">
        <v>0.05</v>
      </c>
    </row>
    <row r="13" spans="1:10" x14ac:dyDescent="0.2">
      <c r="B13" s="1" t="s">
        <v>19</v>
      </c>
      <c r="C13" s="1">
        <v>20</v>
      </c>
      <c r="D13" s="1">
        <v>67</v>
      </c>
      <c r="E13">
        <f>D13-C13</f>
        <v>47</v>
      </c>
      <c r="F13">
        <f t="shared" ref="F13:F16" si="2">D13*(1-$J$12)</f>
        <v>63.65</v>
      </c>
    </row>
    <row r="14" spans="1:10" x14ac:dyDescent="0.2">
      <c r="B14" t="s">
        <v>20</v>
      </c>
      <c r="C14">
        <v>54</v>
      </c>
      <c r="D14">
        <v>90</v>
      </c>
      <c r="E14">
        <f t="shared" ref="E14:E16" si="3">D14-C14</f>
        <v>36</v>
      </c>
      <c r="F14">
        <f t="shared" si="2"/>
        <v>85.5</v>
      </c>
    </row>
    <row r="15" spans="1:10" x14ac:dyDescent="0.2">
      <c r="B15">
        <v>4</v>
      </c>
      <c r="C15">
        <v>36</v>
      </c>
      <c r="D15">
        <v>98</v>
      </c>
      <c r="E15">
        <f t="shared" si="3"/>
        <v>62</v>
      </c>
      <c r="F15">
        <f t="shared" si="2"/>
        <v>93.1</v>
      </c>
    </row>
    <row r="16" spans="1:10" x14ac:dyDescent="0.2">
      <c r="B16">
        <v>5</v>
      </c>
      <c r="C16">
        <v>36</v>
      </c>
      <c r="D16">
        <v>98</v>
      </c>
      <c r="E16">
        <f t="shared" si="3"/>
        <v>62</v>
      </c>
      <c r="F16">
        <f t="shared" si="2"/>
        <v>93.1</v>
      </c>
    </row>
    <row r="20" spans="3:8" x14ac:dyDescent="0.2">
      <c r="E20" t="s">
        <v>67</v>
      </c>
      <c r="H20" t="str" cm="1">
        <f t="array" ref="H20:H22">students</f>
        <v>stu 1</v>
      </c>
    </row>
    <row r="21" spans="3:8" x14ac:dyDescent="0.2">
      <c r="E21" t="s">
        <v>68</v>
      </c>
      <c r="H21" t="str">
        <v>stu 2</v>
      </c>
    </row>
    <row r="22" spans="3:8" x14ac:dyDescent="0.2">
      <c r="E22" t="s">
        <v>69</v>
      </c>
      <c r="H22" t="str">
        <v>stu 3</v>
      </c>
    </row>
    <row r="27" spans="3:8" x14ac:dyDescent="0.2">
      <c r="C27">
        <v>3.14</v>
      </c>
    </row>
    <row r="30" spans="3:8" x14ac:dyDescent="0.2">
      <c r="F30">
        <f>PIE</f>
        <v>3.14</v>
      </c>
    </row>
    <row r="31" spans="3:8" x14ac:dyDescent="0.2">
      <c r="C31" t="s">
        <v>64</v>
      </c>
      <c r="D31" t="s">
        <v>65</v>
      </c>
    </row>
    <row r="33" spans="3:4" x14ac:dyDescent="0.2">
      <c r="C33">
        <v>5</v>
      </c>
      <c r="D33">
        <f>2*PIE*C33</f>
        <v>31.400000000000002</v>
      </c>
    </row>
    <row r="34" spans="3:4" x14ac:dyDescent="0.2">
      <c r="C34">
        <v>7</v>
      </c>
      <c r="D34">
        <f>2*PIE*C34</f>
        <v>43.96</v>
      </c>
    </row>
    <row r="35" spans="3:4" x14ac:dyDescent="0.2">
      <c r="C35">
        <v>32</v>
      </c>
      <c r="D35">
        <f>2*PIE*C35</f>
        <v>200.96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18622-33B0-454A-B7D8-3932A01FE244}">
  <dimension ref="A1:D53"/>
  <sheetViews>
    <sheetView topLeftCell="A36" zoomScale="219" workbookViewId="0">
      <selection activeCell="B44" sqref="B44"/>
    </sheetView>
  </sheetViews>
  <sheetFormatPr baseColWidth="10" defaultRowHeight="16" x14ac:dyDescent="0.2"/>
  <cols>
    <col min="1" max="1" width="10.83203125" style="3"/>
    <col min="2" max="2" width="11.83203125" customWidth="1"/>
  </cols>
  <sheetData>
    <row r="1" spans="1:4" x14ac:dyDescent="0.2">
      <c r="A1" s="3" t="s">
        <v>34</v>
      </c>
      <c r="B1" t="s">
        <v>35</v>
      </c>
      <c r="C1" t="s">
        <v>36</v>
      </c>
      <c r="D1" t="s">
        <v>37</v>
      </c>
    </row>
    <row r="2" spans="1:4" x14ac:dyDescent="0.2">
      <c r="A2" s="3">
        <v>44205</v>
      </c>
      <c r="B2" t="s">
        <v>45</v>
      </c>
      <c r="C2">
        <v>8</v>
      </c>
      <c r="D2" t="s">
        <v>46</v>
      </c>
    </row>
    <row r="3" spans="1:4" x14ac:dyDescent="0.2">
      <c r="A3" s="3">
        <v>44205</v>
      </c>
      <c r="B3" t="s">
        <v>45</v>
      </c>
      <c r="C3">
        <v>8</v>
      </c>
      <c r="D3" t="s">
        <v>46</v>
      </c>
    </row>
    <row r="4" spans="1:4" x14ac:dyDescent="0.2">
      <c r="A4" s="3">
        <v>44205</v>
      </c>
      <c r="B4" t="s">
        <v>45</v>
      </c>
      <c r="C4">
        <v>8</v>
      </c>
      <c r="D4" t="s">
        <v>46</v>
      </c>
    </row>
    <row r="5" spans="1:4" x14ac:dyDescent="0.2">
      <c r="A5" s="3">
        <v>44205</v>
      </c>
      <c r="B5" t="s">
        <v>45</v>
      </c>
      <c r="C5">
        <v>8</v>
      </c>
      <c r="D5" t="s">
        <v>46</v>
      </c>
    </row>
    <row r="6" spans="1:4" x14ac:dyDescent="0.2">
      <c r="A6" s="3">
        <v>44199</v>
      </c>
      <c r="B6" t="s">
        <v>47</v>
      </c>
      <c r="C6">
        <v>5</v>
      </c>
      <c r="D6" t="s">
        <v>46</v>
      </c>
    </row>
    <row r="7" spans="1:4" x14ac:dyDescent="0.2">
      <c r="A7" s="3">
        <v>44199</v>
      </c>
      <c r="B7" t="s">
        <v>47</v>
      </c>
      <c r="C7">
        <v>5</v>
      </c>
      <c r="D7" t="s">
        <v>46</v>
      </c>
    </row>
    <row r="8" spans="1:4" x14ac:dyDescent="0.2">
      <c r="A8" s="3">
        <v>44199</v>
      </c>
      <c r="B8" t="s">
        <v>47</v>
      </c>
      <c r="C8">
        <v>5</v>
      </c>
      <c r="D8" t="s">
        <v>46</v>
      </c>
    </row>
    <row r="9" spans="1:4" x14ac:dyDescent="0.2">
      <c r="A9" s="3">
        <v>44199</v>
      </c>
      <c r="B9" t="s">
        <v>47</v>
      </c>
      <c r="C9">
        <v>5</v>
      </c>
      <c r="D9" t="s">
        <v>46</v>
      </c>
    </row>
    <row r="10" spans="1:4" x14ac:dyDescent="0.2">
      <c r="A10" s="3">
        <v>44198</v>
      </c>
      <c r="B10" t="s">
        <v>48</v>
      </c>
      <c r="C10">
        <v>6</v>
      </c>
      <c r="D10" t="s">
        <v>46</v>
      </c>
    </row>
    <row r="11" spans="1:4" x14ac:dyDescent="0.2">
      <c r="A11" s="3">
        <v>44198</v>
      </c>
      <c r="B11" t="s">
        <v>48</v>
      </c>
      <c r="C11">
        <v>6</v>
      </c>
      <c r="D11" t="s">
        <v>46</v>
      </c>
    </row>
    <row r="12" spans="1:4" x14ac:dyDescent="0.2">
      <c r="A12" s="3">
        <v>44198</v>
      </c>
      <c r="B12" t="s">
        <v>48</v>
      </c>
      <c r="C12">
        <v>6</v>
      </c>
      <c r="D12" t="s">
        <v>46</v>
      </c>
    </row>
    <row r="13" spans="1:4" x14ac:dyDescent="0.2">
      <c r="A13" s="3">
        <v>44198</v>
      </c>
      <c r="B13" t="s">
        <v>48</v>
      </c>
      <c r="C13">
        <v>6</v>
      </c>
      <c r="D13" t="s">
        <v>46</v>
      </c>
    </row>
    <row r="14" spans="1:4" x14ac:dyDescent="0.2">
      <c r="A14" s="3">
        <v>44207</v>
      </c>
      <c r="B14" t="s">
        <v>38</v>
      </c>
      <c r="C14">
        <v>4</v>
      </c>
      <c r="D14" t="s">
        <v>39</v>
      </c>
    </row>
    <row r="15" spans="1:4" x14ac:dyDescent="0.2">
      <c r="A15" s="3">
        <v>44207</v>
      </c>
      <c r="B15" t="s">
        <v>38</v>
      </c>
      <c r="C15">
        <v>4</v>
      </c>
      <c r="D15" t="s">
        <v>39</v>
      </c>
    </row>
    <row r="16" spans="1:4" x14ac:dyDescent="0.2">
      <c r="A16" s="3">
        <v>44207</v>
      </c>
      <c r="B16" t="s">
        <v>38</v>
      </c>
      <c r="C16">
        <v>4</v>
      </c>
      <c r="D16" t="s">
        <v>39</v>
      </c>
    </row>
    <row r="17" spans="1:4" x14ac:dyDescent="0.2">
      <c r="A17" s="3">
        <v>44207</v>
      </c>
      <c r="B17" t="s">
        <v>38</v>
      </c>
      <c r="C17">
        <v>4</v>
      </c>
      <c r="D17" t="s">
        <v>39</v>
      </c>
    </row>
    <row r="18" spans="1:4" x14ac:dyDescent="0.2">
      <c r="A18" s="3">
        <v>44197</v>
      </c>
      <c r="B18" t="s">
        <v>40</v>
      </c>
      <c r="C18">
        <v>9</v>
      </c>
      <c r="D18" t="s">
        <v>39</v>
      </c>
    </row>
    <row r="19" spans="1:4" x14ac:dyDescent="0.2">
      <c r="A19" s="3">
        <v>44197</v>
      </c>
      <c r="B19" t="s">
        <v>40</v>
      </c>
      <c r="C19">
        <v>9</v>
      </c>
      <c r="D19" t="s">
        <v>39</v>
      </c>
    </row>
    <row r="20" spans="1:4" x14ac:dyDescent="0.2">
      <c r="A20" s="3">
        <v>44197</v>
      </c>
      <c r="B20" t="s">
        <v>40</v>
      </c>
      <c r="C20">
        <v>9</v>
      </c>
      <c r="D20" t="s">
        <v>39</v>
      </c>
    </row>
    <row r="21" spans="1:4" x14ac:dyDescent="0.2">
      <c r="A21" s="3">
        <v>44197</v>
      </c>
      <c r="B21" t="s">
        <v>40</v>
      </c>
      <c r="C21">
        <v>9</v>
      </c>
      <c r="D21" t="s">
        <v>39</v>
      </c>
    </row>
    <row r="22" spans="1:4" x14ac:dyDescent="0.2">
      <c r="A22" s="3">
        <v>44205</v>
      </c>
      <c r="B22" t="s">
        <v>49</v>
      </c>
      <c r="C22">
        <v>4</v>
      </c>
      <c r="D22" t="s">
        <v>46</v>
      </c>
    </row>
    <row r="23" spans="1:4" x14ac:dyDescent="0.2">
      <c r="A23" s="3">
        <v>44205</v>
      </c>
      <c r="B23" t="s">
        <v>49</v>
      </c>
      <c r="C23">
        <v>4</v>
      </c>
      <c r="D23" t="s">
        <v>46</v>
      </c>
    </row>
    <row r="24" spans="1:4" x14ac:dyDescent="0.2">
      <c r="A24" s="3">
        <v>44205</v>
      </c>
      <c r="B24" t="s">
        <v>49</v>
      </c>
      <c r="C24">
        <v>4</v>
      </c>
      <c r="D24" t="s">
        <v>46</v>
      </c>
    </row>
    <row r="25" spans="1:4" x14ac:dyDescent="0.2">
      <c r="A25" s="3">
        <v>44205</v>
      </c>
      <c r="B25" t="s">
        <v>49</v>
      </c>
      <c r="C25">
        <v>4</v>
      </c>
      <c r="D25" t="s">
        <v>46</v>
      </c>
    </row>
    <row r="26" spans="1:4" x14ac:dyDescent="0.2">
      <c r="A26" s="3">
        <v>44205</v>
      </c>
      <c r="B26" t="s">
        <v>50</v>
      </c>
      <c r="C26">
        <v>1</v>
      </c>
      <c r="D26" t="s">
        <v>46</v>
      </c>
    </row>
    <row r="27" spans="1:4" x14ac:dyDescent="0.2">
      <c r="A27" s="3">
        <v>44205</v>
      </c>
      <c r="B27" t="s">
        <v>50</v>
      </c>
      <c r="C27">
        <v>1</v>
      </c>
      <c r="D27" t="s">
        <v>46</v>
      </c>
    </row>
    <row r="28" spans="1:4" x14ac:dyDescent="0.2">
      <c r="A28" s="3">
        <v>44205</v>
      </c>
      <c r="B28" t="s">
        <v>50</v>
      </c>
      <c r="C28">
        <v>1</v>
      </c>
      <c r="D28" t="s">
        <v>46</v>
      </c>
    </row>
    <row r="29" spans="1:4" x14ac:dyDescent="0.2">
      <c r="A29" s="3">
        <v>44205</v>
      </c>
      <c r="B29" t="s">
        <v>50</v>
      </c>
      <c r="C29">
        <v>1</v>
      </c>
      <c r="D29" t="s">
        <v>46</v>
      </c>
    </row>
    <row r="30" spans="1:4" x14ac:dyDescent="0.2">
      <c r="A30" s="3">
        <v>44200</v>
      </c>
      <c r="B30" t="s">
        <v>41</v>
      </c>
      <c r="C30">
        <v>12</v>
      </c>
      <c r="D30" t="s">
        <v>42</v>
      </c>
    </row>
    <row r="31" spans="1:4" x14ac:dyDescent="0.2">
      <c r="A31" s="3">
        <v>44200</v>
      </c>
      <c r="B31" t="s">
        <v>41</v>
      </c>
      <c r="C31">
        <v>12</v>
      </c>
      <c r="D31" t="s">
        <v>42</v>
      </c>
    </row>
    <row r="32" spans="1:4" x14ac:dyDescent="0.2">
      <c r="A32" s="3">
        <v>44200</v>
      </c>
      <c r="B32" t="s">
        <v>41</v>
      </c>
      <c r="C32">
        <v>12</v>
      </c>
      <c r="D32" t="s">
        <v>42</v>
      </c>
    </row>
    <row r="33" spans="1:4" x14ac:dyDescent="0.2">
      <c r="A33" s="3">
        <v>44200</v>
      </c>
      <c r="B33" t="s">
        <v>41</v>
      </c>
      <c r="C33">
        <v>12</v>
      </c>
      <c r="D33" t="s">
        <v>42</v>
      </c>
    </row>
    <row r="34" spans="1:4" x14ac:dyDescent="0.2">
      <c r="A34" s="3">
        <v>44207</v>
      </c>
      <c r="B34" t="s">
        <v>51</v>
      </c>
      <c r="C34">
        <v>3</v>
      </c>
      <c r="D34" t="s">
        <v>46</v>
      </c>
    </row>
    <row r="35" spans="1:4" x14ac:dyDescent="0.2">
      <c r="A35" s="3">
        <v>44207</v>
      </c>
      <c r="B35" t="s">
        <v>51</v>
      </c>
      <c r="C35">
        <v>3</v>
      </c>
      <c r="D35" t="s">
        <v>46</v>
      </c>
    </row>
    <row r="36" spans="1:4" x14ac:dyDescent="0.2">
      <c r="A36" s="3">
        <v>44207</v>
      </c>
      <c r="B36" t="s">
        <v>51</v>
      </c>
      <c r="C36">
        <v>3</v>
      </c>
      <c r="D36" t="s">
        <v>46</v>
      </c>
    </row>
    <row r="37" spans="1:4" x14ac:dyDescent="0.2">
      <c r="A37" s="3">
        <v>44207</v>
      </c>
      <c r="B37" t="s">
        <v>51</v>
      </c>
      <c r="C37">
        <v>3</v>
      </c>
      <c r="D37" t="s">
        <v>46</v>
      </c>
    </row>
    <row r="38" spans="1:4" x14ac:dyDescent="0.2">
      <c r="A38" s="3">
        <v>44198</v>
      </c>
      <c r="B38" t="s">
        <v>43</v>
      </c>
      <c r="C38">
        <v>15</v>
      </c>
      <c r="D38" t="s">
        <v>42</v>
      </c>
    </row>
    <row r="39" spans="1:4" x14ac:dyDescent="0.2">
      <c r="A39" s="3">
        <v>44198</v>
      </c>
      <c r="B39" t="s">
        <v>43</v>
      </c>
      <c r="C39">
        <v>15</v>
      </c>
      <c r="D39" t="s">
        <v>42</v>
      </c>
    </row>
    <row r="40" spans="1:4" x14ac:dyDescent="0.2">
      <c r="A40" s="3">
        <v>44198</v>
      </c>
      <c r="B40" t="s">
        <v>43</v>
      </c>
      <c r="C40">
        <v>15</v>
      </c>
      <c r="D40" t="s">
        <v>42</v>
      </c>
    </row>
    <row r="41" spans="1:4" x14ac:dyDescent="0.2">
      <c r="A41" s="3">
        <v>44198</v>
      </c>
      <c r="B41" t="s">
        <v>43</v>
      </c>
      <c r="C41">
        <v>15</v>
      </c>
      <c r="D41" t="s">
        <v>42</v>
      </c>
    </row>
    <row r="42" spans="1:4" x14ac:dyDescent="0.2">
      <c r="A42" s="3">
        <v>44208</v>
      </c>
      <c r="B42" t="s">
        <v>44</v>
      </c>
      <c r="C42">
        <v>10</v>
      </c>
      <c r="D42" t="s">
        <v>42</v>
      </c>
    </row>
    <row r="43" spans="1:4" x14ac:dyDescent="0.2">
      <c r="A43" s="3">
        <v>44208</v>
      </c>
      <c r="B43" t="s">
        <v>44</v>
      </c>
      <c r="C43">
        <v>10</v>
      </c>
      <c r="D43" t="s">
        <v>42</v>
      </c>
    </row>
    <row r="44" spans="1:4" x14ac:dyDescent="0.2">
      <c r="A44" s="3">
        <v>44208</v>
      </c>
      <c r="B44" t="s">
        <v>44</v>
      </c>
      <c r="C44">
        <v>10</v>
      </c>
      <c r="D44" t="s">
        <v>42</v>
      </c>
    </row>
    <row r="45" spans="1:4" x14ac:dyDescent="0.2">
      <c r="A45" s="3">
        <v>44208</v>
      </c>
      <c r="B45" t="s">
        <v>44</v>
      </c>
      <c r="C45">
        <v>10</v>
      </c>
      <c r="D45" t="s">
        <v>42</v>
      </c>
    </row>
    <row r="46" spans="1:4" x14ac:dyDescent="0.2">
      <c r="A46" s="3">
        <v>44207</v>
      </c>
      <c r="B46" t="s">
        <v>44</v>
      </c>
      <c r="C46">
        <v>4</v>
      </c>
      <c r="D46" t="s">
        <v>46</v>
      </c>
    </row>
    <row r="47" spans="1:4" x14ac:dyDescent="0.2">
      <c r="A47" s="3">
        <v>44207</v>
      </c>
      <c r="B47" t="s">
        <v>44</v>
      </c>
      <c r="C47">
        <v>4</v>
      </c>
      <c r="D47" t="s">
        <v>46</v>
      </c>
    </row>
    <row r="48" spans="1:4" x14ac:dyDescent="0.2">
      <c r="A48" s="3">
        <v>44207</v>
      </c>
      <c r="B48" t="s">
        <v>44</v>
      </c>
      <c r="C48">
        <v>4</v>
      </c>
      <c r="D48" t="s">
        <v>46</v>
      </c>
    </row>
    <row r="49" spans="1:4" x14ac:dyDescent="0.2">
      <c r="A49" s="3">
        <v>44207</v>
      </c>
      <c r="B49" t="s">
        <v>44</v>
      </c>
      <c r="C49">
        <v>4</v>
      </c>
      <c r="D49" t="s">
        <v>46</v>
      </c>
    </row>
    <row r="50" spans="1:4" x14ac:dyDescent="0.2">
      <c r="A50" s="3">
        <v>44214</v>
      </c>
      <c r="B50" t="s">
        <v>52</v>
      </c>
      <c r="C50">
        <v>13</v>
      </c>
      <c r="D50" t="s">
        <v>46</v>
      </c>
    </row>
    <row r="51" spans="1:4" x14ac:dyDescent="0.2">
      <c r="A51" s="3">
        <v>44214</v>
      </c>
      <c r="B51" t="s">
        <v>52</v>
      </c>
      <c r="C51">
        <v>13</v>
      </c>
      <c r="D51" t="s">
        <v>46</v>
      </c>
    </row>
    <row r="52" spans="1:4" x14ac:dyDescent="0.2">
      <c r="A52" s="3">
        <v>44214</v>
      </c>
      <c r="B52" t="s">
        <v>52</v>
      </c>
      <c r="C52">
        <v>13</v>
      </c>
      <c r="D52" t="s">
        <v>46</v>
      </c>
    </row>
    <row r="53" spans="1:4" x14ac:dyDescent="0.2">
      <c r="A53" s="3">
        <v>44214</v>
      </c>
      <c r="B53" t="s">
        <v>52</v>
      </c>
      <c r="C53">
        <v>13</v>
      </c>
      <c r="D53" t="s">
        <v>46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AGENDA</vt:lpstr>
      <vt:lpstr>Sheet2</vt:lpstr>
      <vt:lpstr>Sheet3</vt:lpstr>
      <vt:lpstr>Sheet4</vt:lpstr>
      <vt:lpstr>PIE</vt:lpstr>
      <vt:lpstr>students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2026-02-17T15:36:52Z</dcterms:created>
  <dcterms:modified xsi:type="dcterms:W3CDTF">2026-02-17T17:36:15Z</dcterms:modified>
</cp:coreProperties>
</file>