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96723AE6-659D-0A42-93B6-81C54EFF4E4F}" xr6:coauthVersionLast="47" xr6:coauthVersionMax="47" xr10:uidLastSave="{00000000-0000-0000-0000-000000000000}"/>
  <bookViews>
    <workbookView xWindow="0" yWindow="600" windowWidth="28800" windowHeight="17400" activeTab="1" xr2:uid="{DC7F8EAD-DEA2-3349-B59D-804B69E5A80F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1" l="1"/>
  <c r="C89" i="1"/>
  <c r="B11" i="2"/>
  <c r="D71" i="1"/>
  <c r="B76" i="1"/>
  <c r="B74" i="1"/>
  <c r="G6" i="2"/>
  <c r="G8" i="2"/>
  <c r="G4" i="2"/>
  <c r="E5" i="2"/>
  <c r="G5" i="2" s="1"/>
  <c r="E6" i="2"/>
  <c r="E7" i="2"/>
  <c r="G7" i="2" s="1"/>
  <c r="E8" i="2"/>
  <c r="E4" i="2"/>
  <c r="F5" i="2"/>
  <c r="F6" i="2"/>
  <c r="F7" i="2"/>
  <c r="F8" i="2"/>
  <c r="F4" i="2"/>
  <c r="B94" i="1" s="1" a="1"/>
  <c r="B12" i="2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<sst xmlns="http://schemas.openxmlformats.org/spreadsheetml/2006/main" count="54" uniqueCount="49">
  <si>
    <t>&lt;colName&gt;&lt;rowNum&gt;</t>
  </si>
  <si>
    <t>1) Absolute</t>
  </si>
  <si>
    <t>2) Relative</t>
  </si>
  <si>
    <t>1) Cell Reference ( Cell Address)</t>
  </si>
  <si>
    <t>FIXED</t>
  </si>
  <si>
    <t>with respect to … (active cell)</t>
  </si>
  <si>
    <t>3) Mixed…</t>
  </si>
  <si>
    <t>d7</t>
  </si>
  <si>
    <t>d$7</t>
  </si>
  <si>
    <t>$d$7</t>
  </si>
  <si>
    <t>Qts</t>
  </si>
  <si>
    <t>Price/Unit</t>
  </si>
  <si>
    <t>Disc</t>
  </si>
  <si>
    <t>Total Price</t>
  </si>
  <si>
    <t>BODMAS</t>
  </si>
  <si>
    <t>Bracket</t>
  </si>
  <si>
    <t>OF</t>
  </si>
  <si>
    <t>Div</t>
  </si>
  <si>
    <t>Mul</t>
  </si>
  <si>
    <t>Add</t>
  </si>
  <si>
    <t>Sub</t>
  </si>
  <si>
    <t xml:space="preserve">GST </t>
  </si>
  <si>
    <t>FORMULA</t>
  </si>
  <si>
    <t>GST</t>
  </si>
  <si>
    <t>Relative but either wrt Row or Col</t>
  </si>
  <si>
    <t>$d7</t>
  </si>
  <si>
    <t>AUTOFILL</t>
  </si>
  <si>
    <t>Flashfill</t>
  </si>
  <si>
    <t>RELATIVE CELL REF</t>
  </si>
  <si>
    <t>Both Row n Col can change</t>
  </si>
  <si>
    <t>A4</t>
  </si>
  <si>
    <t>ABSOLUTE CELL REF</t>
  </si>
  <si>
    <t>HERE NEITHER ROW CAN CHANGE NOR MY COLUMN CAN CHNG</t>
  </si>
  <si>
    <t>$A$4</t>
  </si>
  <si>
    <t>MIXED CELL REF</t>
  </si>
  <si>
    <t>ROW IS FIXED , column can chng</t>
  </si>
  <si>
    <t>A$4</t>
  </si>
  <si>
    <t>COLUMN is fixed but ROW CAN CHNG</t>
  </si>
  <si>
    <t>$A4</t>
  </si>
  <si>
    <t>Paste Vs Paste Special</t>
  </si>
  <si>
    <t>Mirroring</t>
  </si>
  <si>
    <t>Range</t>
  </si>
  <si>
    <t>Rectangle</t>
  </si>
  <si>
    <t>From Top Left to Bottom Right</t>
  </si>
  <si>
    <t>Formula Bar</t>
  </si>
  <si>
    <t>Navigation</t>
  </si>
  <si>
    <t>CTRL + Arrow Key : Navigation</t>
  </si>
  <si>
    <t>CTRL+SHIFT+ARROW Key : Selection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</si>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</sst>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0" borderId="1" xfId="0" applyFill="1" applyBorder="1"/>
    <xf numFmtId="2" fontId="0" fillId="0" borderId="1" xfId="0" applyNumberFormat="1" applyBorder="1"/>
    <xf numFmtId="2" fontId="0" fillId="0" borderId="0" xfId="0" applyNumberFormat="1"/>
    <xf numFmtId="0" fontId="1" fillId="0" borderId="0" xfId="0" applyFont="1"/>
    <xf numFmtId="0" fontId="3" fillId="3" borderId="0" xfId="0" applyFont="1" applyFill="1"/>
    <xf numFmtId="0" fontId="3" fillId="0" borderId="0" xfId="0" applyFont="1"/>
    <xf numFmtId="0" fontId="1" fillId="2" borderId="0" xfId="0" applyFont="1" applyFill="1"/>
    <xf numFmtId="0" fontId="0" fillId="0" borderId="2" xfId="0" applyBorder="1"/>
    <xf numFmtId="9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9" xfId="0" applyNumberFormat="1" applyBorder="1"/>
  </cellXfs>
  <cellStyles count="1">
    <cellStyle name="Normal" xfId="0" builtinId="0"/>
  </cellStyles>
  <dxfs count="6"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825977</xdr:colOff>
      <xdr:row>103</xdr:row>
      <xdr:rowOff>205301</xdr:rowOff>
    </xdr:from>
    <xdr:to>
      <xdr:col>9</xdr:col>
      <xdr:colOff>808980</xdr:colOff>
      <xdr:row>107</xdr:row>
      <xdr:rowOff>31798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F62711-8F7B-BE41-40F7-5E67F0A89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977" y="21351278"/>
          <a:ext cx="7416800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605160</xdr:colOff>
      <xdr:row>105</xdr:row>
      <xdr:rowOff>175901</xdr:rowOff>
    </xdr:from>
    <xdr:to>
      <xdr:col>1</xdr:col>
      <xdr:colOff>459223</xdr:colOff>
      <xdr:row>108</xdr:row>
      <xdr:rowOff>186399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7243A92-4F06-3FB3-9072-16B49E17A6D4}"/>
                </a:ext>
              </a:extLst>
            </xdr14:cNvPr>
            <xdr14:cNvContentPartPr/>
          </xdr14:nvContentPartPr>
          <xdr14:nvPr macro=""/>
          <xdr14:xfrm>
            <a:off x="605160" y="21732480"/>
            <a:ext cx="680040" cy="6264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7243A92-4F06-3FB3-9072-16B49E17A6D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99040" y="21726360"/>
              <a:ext cx="692280" cy="63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680263</xdr:colOff>
      <xdr:row>104</xdr:row>
      <xdr:rowOff>118762</xdr:rowOff>
    </xdr:from>
    <xdr:to>
      <xdr:col>1</xdr:col>
      <xdr:colOff>691783</xdr:colOff>
      <xdr:row>106</xdr:row>
      <xdr:rowOff>181920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FD803ED-E4C3-24BA-415B-56EF170E7ACA}"/>
                </a:ext>
              </a:extLst>
            </xdr14:cNvPr>
            <xdr14:cNvContentPartPr/>
          </xdr14:nvContentPartPr>
          <xdr14:nvPr macro=""/>
          <xdr14:xfrm>
            <a:off x="1506240" y="21470040"/>
            <a:ext cx="11520" cy="4737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FD803ED-E4C3-24BA-415B-56EF170E7AC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00120" y="21463920"/>
              <a:ext cx="23760" cy="48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534463</xdr:colOff>
      <xdr:row>104</xdr:row>
      <xdr:rowOff>89242</xdr:rowOff>
    </xdr:from>
    <xdr:to>
      <xdr:col>5</xdr:col>
      <xdr:colOff>280833</xdr:colOff>
      <xdr:row>108</xdr:row>
      <xdr:rowOff>80559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3CABC5E-6B22-5F39-29FD-9D6FADD89C79}"/>
                </a:ext>
              </a:extLst>
            </xdr14:cNvPr>
            <xdr14:cNvContentPartPr/>
          </xdr14:nvContentPartPr>
          <xdr14:nvPr macro=""/>
          <xdr14:xfrm>
            <a:off x="1360440" y="21440520"/>
            <a:ext cx="3050280" cy="8125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3CABC5E-6B22-5F39-29FD-9D6FADD89C7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54320" y="21434400"/>
              <a:ext cx="3062520" cy="824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17:10:14.22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1739 24575,'21'-1'0,"27"-12"0,2-9 0,11-9 0,14-14 0,10-12 0,1-3 0,-18 9 0,2-3 0,0-2 0,-1-1 0,2-1 0,1-1 0,-2-1 0,-4 1-367,7-10 1,-5 1 0,-8 5 366,-8 1 0,-7 5 179,-3 2 1,-4 2-180,-7 6 0,-1 1 91,-2 1 1,0-1-92,5-7 0,-2 2 0,13-18 0,11-12 557,-20 39-557,-2 6 0,3 2 0,-13 14 0,-3 4 0,-18 15 0,-7 2 0,-7 0 0,-6 1 0,-6-1 0,-5 0 0,-2-1 0,0-1 0,0-2 0,-2-5 0,0-4 0,4 1 0,10 3 0,10 4 0,10 3 0,8 1 0,6 0 0,6 0 0,6 0 0,10 0 0,12 0 0,9 0 0,4 2 0,-8 1 0,-17 3 0,-15 0 0,-13 1 0,-6 0 0,-4 1 0,-2 2 0,-2 1 0,-2 1 0,0 7 0,0 26 0,2 19 0,2 10 0,2-7 0,1-28 0,0-17 0,0-14 0,0-4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17:10:25.37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0 24575,'1'4'0,"1"25"0,-2 45 0,0-7 0,0 9 0,0-10 0,0 3 0,0 2-195,1 7 0,0 1 0,0-1 195,1-3 0,0-1 0,0-4 72,2 19 0,-1-7-72,1-22 0,-1-6 0,0 12 0,-2-29 0,-1-23 0,0-11 0,0-3 0,0-1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17:10:28.99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444 84 24575,'7'-6'0,"34"3"0,6 2 0,11 0 0,7 0 0,9 1 0,6 1 0,1-1 0,5 0 0,4 0 0,1 0-830,-8 0 1,1 0 0,2 0 0,2 0 0,2 0 829,-4 0 0,2 0 0,1 0 0,1 0 0,1 0 0,-1 0 0,2 0 0,1 0 0,0 0 0,1 0 0,-1 0 0,0 0 0,1 0 0,0 0 0,0 0 0,0 0 0,0 0 0,0 0 0,0 0 0,0 0 0,0 0 0,0 0 0,-2 0 0,0 0 0,-7-1 0,-1 1 0,-1 0 0,0 0 0,0-1 0,-1 0 0,16 0 0,0 0 0,-1-1 0,-1 0 0,-2 0-150,-7 1 1,0-1 0,-2 0 0,-1 0-1,-1 0 150,14 0 0,-2 0 0,-1 0 0,-3 0-172,-10 0 0,-2 1 0,-3 0 0,-2 0 172,4 1 0,-3 0 0,-3 0 0,17 0 0,-9 0 0,-26 0 0,-8 0 0,6 0 2755,-25 2-2755,-21 0 1922,-6 1-1922,-4-1 904,-3-1-904,-2-1 0,1 0 0,1 0 0,2 0 0,1 0 0,-1 0 0,0 0 0,1 0 0,1 0 0,11 0 0,4 0 0,20 0 0,14 0 0,28 0 0,-22-2 0,4 1 0,9-3 0,4 0 0,9-1 0,2-1 0,2 0 0,1 1 0,0 0 0,-1 1 0,2 1 0,0 1 0,-2 1 0,-1 0 0,-3 0 0,-2 1 0,-7 1 0,-3-1 0,-6 2 0,-3-1 0,42 4 0,-13 0 0,-10-2 0,-18-2 0,-18-1 0,-14 0 0,-12 1 0,-8 0 0,-3 1 0,-2 0 0,-1 2 0,0 0 0,0 2 0,-2 5 0,0 15 0,-1 31 0,0 40 0,1-24 0,-2 7 0,0-13 0,0 4 0,-2 3 0,-2 12 0,-2 4 0,0 7-139,1-16 1,-1 6-1,-1 3 1,1-2-1,0-6 139,1-1 0,0-5 0,0-1 0,-1 3 0,0 12 0,-1 5 0,0-5 0,2-12 0,1 0 0,1-13 0,-3 21 0,3-42 0,1-26 0,1-12 0,-1-5 0,-2-1 0,-9 0 693,-17-1-693,-28-3 0,-31-3 0,4-1 0,-12-2 0,15 2 0,-5 0 0,-3-1-373,16 1 0,-3 0 1,-2 0-1,0-1 373,-7 0 0,-2 0 0,0 0 0,1 0 0,5 1 0,1-1 0,0 1 0,0 0-1138,-2 0 1,0 0 0,0 1 0,-2-1 1137,-2 1 0,-1 0 0,0 0 0,-1 1 0,-5-1 0,-1 1 0,1 0 0,-1 0-436,2 1 1,0-1-1,0 1 1,1 1 435,3-1 0,0 1 0,2 0 0,1 1-276,5-1 0,1 1 0,2 0 0,1 0 276,-16 1 0,2-1 0,1 1 114,4 0 1,1 0 0,1 0-115,4 0 0,1 0 0,0 0 0,3 1 0,1-1 0,1 0 0,2 0 0,2-1 0,0 1 1253,4-1 1,1 1 0,-2-2-1254,-9 0 0,-2-1 0,0 0 0,1-2 0,1 1 0,-1-1 0,1 0 0,0-1 0,2 1 0,3-1 0,1 0 0,4 0 0,-12-3 0,4 1 1076,3 2 1,1 0-1077,6 0 0,0 1 0,4 1 0,0 0 0,4 0 0,0-1 850,-2 0 0,-1 0-850,0 1 0,0 0 464,-2 1 0,1 2-464,0 0 0,0 1 0,7 2 0,2-1 0,3 1 0,2 0 0,-39 0 0,10 0 0,10 0 0,10 0 0,0-1 0,9-1 0,10-2 0,12 0 0,15-1 0,5 0 0,3-2 0,3 1 0,2-1 0,0 1 0,0-3 0,0-3 0,0-2 0,1-3 0,3-4 0,3-11 0,10-18 0,6-12 0,5-4 0,-1 12 0,-7 21 0,-5 16 0,-3 11 0,-4 4 0,0 2 0,-3 0 0,-1 0 0,-1 1 0,1 0 0,0 5 0,-1-3 0,0 1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0464A-355F-D64B-8103-9C4BDBB4A0CD}" name="Table1" displayName="Table1" ref="B24:D54" totalsRowShown="0" headerRowBorderDxfId="4" tableBorderDxfId="5" totalsRowBorderDxfId="3">
  <autoFilter ref="B24:D54" xr:uid="{91C0464A-355F-D64B-8103-9C4BDBB4A0CD}"/>
  <sortState xmlns:xlrd2="http://schemas.microsoft.com/office/spreadsheetml/2017/richdata2" ref="B25:D54">
    <sortCondition descending="1" ref="C24:C54"/>
  </sortState>
  <tableColumns count="3">
    <tableColumn id="1" xr3:uid="{79E05D46-5C52-C14D-9BDC-3AB6917AF75A}" name="Qts" dataDxfId="2"/>
    <tableColumn id="2" xr3:uid="{C3BE9112-9AE9-AD47-95A4-3F6A0CFCFCF4}" name="Price/Unit" dataDxfId="1"/>
    <tableColumn id="3" xr3:uid="{A053E65F-EE16-6C4E-814D-2FCC339033BF}" name="Dis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1A8E-F502-A64C-854F-D942E1176689}">
  <dimension ref="A5:K124"/>
  <sheetViews>
    <sheetView topLeftCell="A118" zoomScale="266" workbookViewId="0">
      <selection activeCell="C9" sqref="C9"/>
    </sheetView>
  </sheetViews>
  <sheetFormatPr baseColWidth="10" defaultRowHeight="16" x14ac:dyDescent="0.2"/>
  <sheetData>
    <row r="5" spans="2:8" x14ac:dyDescent="0.2">
      <c r="B5" t="s">
        <v>3</v>
      </c>
    </row>
    <row r="7" spans="2:8" x14ac:dyDescent="0.2">
      <c r="D7" t="s">
        <v>0</v>
      </c>
      <c r="G7" t="s">
        <v>7</v>
      </c>
    </row>
    <row r="10" spans="2:8" x14ac:dyDescent="0.2">
      <c r="C10" t="s">
        <v>1</v>
      </c>
      <c r="E10" t="s">
        <v>4</v>
      </c>
      <c r="H10" t="s">
        <v>9</v>
      </c>
    </row>
    <row r="12" spans="2:8" x14ac:dyDescent="0.2">
      <c r="C12" t="s">
        <v>2</v>
      </c>
      <c r="E12" t="s">
        <v>5</v>
      </c>
      <c r="H12" t="s">
        <v>7</v>
      </c>
    </row>
    <row r="14" spans="2:8" x14ac:dyDescent="0.2">
      <c r="C14" t="s">
        <v>6</v>
      </c>
      <c r="E14" t="s">
        <v>24</v>
      </c>
      <c r="H14" t="s">
        <v>8</v>
      </c>
    </row>
    <row r="15" spans="2:8" x14ac:dyDescent="0.2">
      <c r="H15" t="s">
        <v>25</v>
      </c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3" spans="1:8" x14ac:dyDescent="0.2">
      <c r="D23" t="s">
        <v>14</v>
      </c>
    </row>
    <row r="25" spans="1:8" x14ac:dyDescent="0.2">
      <c r="D25" t="s">
        <v>15</v>
      </c>
    </row>
    <row r="26" spans="1:8" x14ac:dyDescent="0.2">
      <c r="D26" t="s">
        <v>16</v>
      </c>
    </row>
    <row r="27" spans="1:8" x14ac:dyDescent="0.2">
      <c r="D27" t="s">
        <v>17</v>
      </c>
    </row>
    <row r="28" spans="1:8" x14ac:dyDescent="0.2">
      <c r="D28" t="s">
        <v>18</v>
      </c>
    </row>
    <row r="29" spans="1:8" x14ac:dyDescent="0.2">
      <c r="D29" t="s">
        <v>19</v>
      </c>
    </row>
    <row r="30" spans="1:8" x14ac:dyDescent="0.2">
      <c r="D30" t="s">
        <v>20</v>
      </c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7" spans="1:8" x14ac:dyDescent="0.2">
      <c r="B37" t="s">
        <v>26</v>
      </c>
    </row>
    <row r="38" spans="1:8" x14ac:dyDescent="0.2">
      <c r="D38">
        <v>3</v>
      </c>
      <c r="F38">
        <v>5</v>
      </c>
    </row>
    <row r="39" spans="1:8" x14ac:dyDescent="0.2">
      <c r="D39">
        <v>6</v>
      </c>
      <c r="F39">
        <v>10</v>
      </c>
    </row>
    <row r="40" spans="1:8" x14ac:dyDescent="0.2">
      <c r="D40">
        <v>9</v>
      </c>
      <c r="F40">
        <v>15</v>
      </c>
    </row>
    <row r="41" spans="1:8" x14ac:dyDescent="0.2">
      <c r="D41">
        <v>12</v>
      </c>
      <c r="F41">
        <v>20</v>
      </c>
    </row>
    <row r="42" spans="1:8" x14ac:dyDescent="0.2">
      <c r="D42">
        <v>15</v>
      </c>
      <c r="F42">
        <v>25</v>
      </c>
    </row>
    <row r="43" spans="1:8" x14ac:dyDescent="0.2">
      <c r="D43">
        <v>18</v>
      </c>
      <c r="F43">
        <v>30</v>
      </c>
    </row>
    <row r="44" spans="1:8" x14ac:dyDescent="0.2">
      <c r="D44">
        <v>21</v>
      </c>
    </row>
    <row r="48" spans="1:8" x14ac:dyDescent="0.2">
      <c r="B48" t="s">
        <v>27</v>
      </c>
    </row>
    <row r="51" spans="1:11" x14ac:dyDescent="0.2">
      <c r="A51" s="1"/>
      <c r="B51" s="1"/>
      <c r="C51" s="1"/>
      <c r="D51" s="1"/>
      <c r="E51" s="1"/>
      <c r="F51" s="1"/>
      <c r="G51" s="1"/>
      <c r="H51" s="1"/>
    </row>
    <row r="55" spans="1:11" x14ac:dyDescent="0.2">
      <c r="B55" s="9" t="s">
        <v>28</v>
      </c>
      <c r="C55" s="9"/>
      <c r="D55" s="10"/>
      <c r="E55" s="10" t="s">
        <v>29</v>
      </c>
      <c r="F55" s="10"/>
      <c r="G55" s="10"/>
      <c r="H55" s="10"/>
      <c r="I55" s="10"/>
      <c r="J55" s="10"/>
      <c r="K55" s="10" t="s">
        <v>30</v>
      </c>
    </row>
    <row r="56" spans="1:11" x14ac:dyDescent="0.2">
      <c r="B56" s="9" t="s">
        <v>31</v>
      </c>
      <c r="C56" s="9"/>
      <c r="D56" s="10"/>
      <c r="E56" s="10" t="s">
        <v>32</v>
      </c>
      <c r="F56" s="10"/>
      <c r="G56" s="10"/>
      <c r="H56" s="10"/>
      <c r="I56" s="10"/>
      <c r="J56" s="10"/>
      <c r="K56" s="10" t="s">
        <v>33</v>
      </c>
    </row>
    <row r="57" spans="1:11" x14ac:dyDescent="0.2">
      <c r="B57" s="9"/>
      <c r="C57" s="9"/>
      <c r="D57" s="10"/>
      <c r="E57" s="10"/>
      <c r="F57" s="10"/>
      <c r="G57" s="10"/>
      <c r="H57" s="10"/>
      <c r="I57" s="10"/>
      <c r="J57" s="10"/>
      <c r="K57" s="10"/>
    </row>
    <row r="58" spans="1:11" x14ac:dyDescent="0.2">
      <c r="B58" s="9" t="s">
        <v>34</v>
      </c>
      <c r="C58" s="9"/>
      <c r="D58" s="10"/>
      <c r="E58" s="10" t="s">
        <v>35</v>
      </c>
      <c r="F58" s="10"/>
      <c r="G58" s="10"/>
      <c r="H58" s="10"/>
      <c r="I58" s="10"/>
      <c r="J58" s="10"/>
      <c r="K58" s="10" t="s">
        <v>36</v>
      </c>
    </row>
    <row r="59" spans="1:11" x14ac:dyDescent="0.2">
      <c r="B59" s="9" t="s">
        <v>34</v>
      </c>
      <c r="C59" s="9"/>
      <c r="D59" s="10"/>
      <c r="E59" s="10" t="s">
        <v>37</v>
      </c>
      <c r="F59" s="10"/>
      <c r="G59" s="10"/>
      <c r="H59" s="10"/>
      <c r="I59" s="10"/>
      <c r="J59" s="10"/>
      <c r="K59" s="10" t="s">
        <v>38</v>
      </c>
    </row>
    <row r="62" spans="1:1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5" spans="1:8" x14ac:dyDescent="0.2">
      <c r="B65" t="s">
        <v>39</v>
      </c>
    </row>
    <row r="69" spans="1:8" x14ac:dyDescent="0.2">
      <c r="B69" t="s">
        <v>40</v>
      </c>
    </row>
    <row r="71" spans="1:8" x14ac:dyDescent="0.2">
      <c r="C71" s="3">
        <v>450</v>
      </c>
      <c r="D71">
        <f>Sheet2!C7</f>
        <v>440</v>
      </c>
    </row>
    <row r="74" spans="1:8" x14ac:dyDescent="0.2">
      <c r="B74" t="str">
        <f>"=&lt;CELL ADDRESS&gt;"</f>
        <v>=&lt;CELL ADDRESS&gt;</v>
      </c>
    </row>
    <row r="76" spans="1:8" x14ac:dyDescent="0.2">
      <c r="B76" t="str">
        <f>"=&lt;SHEET_NAME&gt;!&lt;COL_NAME&gt;&lt;ROW_Num&gt;"</f>
        <v>=&lt;SHEET_NAME&gt;!&lt;COL_NAME&gt;&lt;ROW_Num&gt;</v>
      </c>
    </row>
    <row r="79" spans="1:8" x14ac:dyDescent="0.2">
      <c r="A79" s="1"/>
      <c r="B79" s="1"/>
      <c r="C79" s="1"/>
      <c r="D79" s="1"/>
      <c r="E79" s="1"/>
      <c r="F79" s="1"/>
      <c r="G79" s="1"/>
      <c r="H79" s="1"/>
    </row>
    <row r="81" spans="2:7" x14ac:dyDescent="0.2">
      <c r="B81" t="s">
        <v>41</v>
      </c>
    </row>
    <row r="84" spans="2:7" x14ac:dyDescent="0.2">
      <c r="C84" t="s">
        <v>42</v>
      </c>
    </row>
    <row r="86" spans="2:7" x14ac:dyDescent="0.2">
      <c r="C86" t="s">
        <v>43</v>
      </c>
    </row>
    <row r="89" spans="2:7" x14ac:dyDescent="0.2">
      <c r="C89" t="str">
        <f>"=&lt;TOPLEFT&gt;:&lt;BOTTOMRIGHT&gt;"</f>
        <v>=&lt;TOPLEFT&gt;:&lt;BOTTOMRIGHT&gt;</v>
      </c>
    </row>
    <row r="91" spans="2:7" x14ac:dyDescent="0.2">
      <c r="C91" t="str">
        <f>"=&lt;SHEETNAME&gt;!&lt;TOPLEFT&gt;:&lt;BOTTOMRIGHT&gt;"</f>
        <v>=&lt;SHEETNAME&gt;!&lt;TOPLEFT&gt;:&lt;BOTTOMRIGHT&gt;</v>
      </c>
    </row>
    <row r="94" spans="2:7" x14ac:dyDescent="0.2">
      <c r="B94" t="str" cm="1">
        <f t="array" aca="1" ref="B94:G99" ca="1">Sheet2!B3:G8</f>
        <v>Qts</v>
      </c>
      <c r="C94" t="str">
        <f ca="1"/>
        <v>Price/Unit</v>
      </c>
      <c r="D94" t="str">
        <f ca="1"/>
        <v>Disc</v>
      </c>
      <c r="E94" t="str">
        <f ca="1"/>
        <v>Total Price</v>
      </c>
      <c r="F94" t="str">
        <f ca="1"/>
        <v>FORMULA</v>
      </c>
      <c r="G94" t="str">
        <f ca="1"/>
        <v>GST</v>
      </c>
    </row>
    <row r="95" spans="2:7" x14ac:dyDescent="0.2">
      <c r="B95">
        <f ca="1"/>
        <v>4</v>
      </c>
      <c r="C95">
        <f ca="1"/>
        <v>100</v>
      </c>
      <c r="D95">
        <f ca="1"/>
        <v>0.1</v>
      </c>
      <c r="E95">
        <f ca="1"/>
        <v>360</v>
      </c>
      <c r="F95" t="str">
        <f ca="1"/>
        <v>=B4*C4*(1-D4)</v>
      </c>
      <c r="G95">
        <f ca="1"/>
        <v>64.8</v>
      </c>
    </row>
    <row r="96" spans="2:7" x14ac:dyDescent="0.2">
      <c r="B96">
        <f ca="1"/>
        <v>5</v>
      </c>
      <c r="C96">
        <f ca="1"/>
        <v>300</v>
      </c>
      <c r="D96">
        <f ca="1"/>
        <v>0.05</v>
      </c>
      <c r="E96">
        <f ca="1"/>
        <v>1425</v>
      </c>
      <c r="F96" t="str">
        <f ca="1"/>
        <v>=B5*C5*(1-D5)</v>
      </c>
      <c r="G96">
        <f ca="1"/>
        <v>256.5</v>
      </c>
    </row>
    <row r="97" spans="1:8" x14ac:dyDescent="0.2">
      <c r="B97">
        <f ca="1"/>
        <v>8</v>
      </c>
      <c r="C97">
        <f ca="1"/>
        <v>20</v>
      </c>
      <c r="D97">
        <f ca="1"/>
        <v>0</v>
      </c>
      <c r="E97">
        <f ca="1"/>
        <v>160</v>
      </c>
      <c r="F97" t="str">
        <f ca="1"/>
        <v>=B6*C6*(1-D6)</v>
      </c>
      <c r="G97">
        <f ca="1"/>
        <v>28.799999999999997</v>
      </c>
    </row>
    <row r="98" spans="1:8" x14ac:dyDescent="0.2">
      <c r="B98">
        <f ca="1"/>
        <v>10</v>
      </c>
      <c r="C98">
        <f ca="1"/>
        <v>440</v>
      </c>
      <c r="D98">
        <f ca="1"/>
        <v>0</v>
      </c>
      <c r="E98">
        <f ca="1"/>
        <v>4400</v>
      </c>
      <c r="F98" t="str">
        <f ca="1"/>
        <v>=B7*C7*(1-D7)</v>
      </c>
      <c r="G98">
        <f ca="1"/>
        <v>792</v>
      </c>
    </row>
    <row r="99" spans="1:8" x14ac:dyDescent="0.2">
      <c r="B99">
        <f ca="1"/>
        <v>2</v>
      </c>
      <c r="C99">
        <f ca="1"/>
        <v>30</v>
      </c>
      <c r="D99">
        <f ca="1"/>
        <v>0.2</v>
      </c>
      <c r="E99">
        <f ca="1"/>
        <v>48</v>
      </c>
      <c r="F99" t="str">
        <f ca="1"/>
        <v>=B8*C8*(1-D8)</v>
      </c>
      <c r="G99">
        <f ca="1"/>
        <v>8.64</v>
      </c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t="s">
        <v>44</v>
      </c>
    </row>
    <row r="112" spans="1:8" x14ac:dyDescent="0.2">
      <c r="A112" s="1"/>
      <c r="B112" s="1"/>
      <c r="C112" s="1"/>
      <c r="D112" s="1"/>
      <c r="E112" s="1"/>
      <c r="F112" s="1"/>
      <c r="G112" s="1"/>
      <c r="H112" s="1"/>
    </row>
    <row r="115" spans="1:8" x14ac:dyDescent="0.2">
      <c r="B115" t="s">
        <v>45</v>
      </c>
    </row>
    <row r="117" spans="1:8" x14ac:dyDescent="0.2">
      <c r="B117" t="s">
        <v>46</v>
      </c>
    </row>
    <row r="119" spans="1:8" x14ac:dyDescent="0.2">
      <c r="B119" t="s">
        <v>47</v>
      </c>
    </row>
    <row r="122" spans="1:8" x14ac:dyDescent="0.2">
      <c r="A122" s="1"/>
      <c r="B122" s="1"/>
      <c r="C122" s="1"/>
      <c r="D122" s="1"/>
      <c r="E122" s="1"/>
      <c r="F122" s="1"/>
      <c r="G122" s="1"/>
      <c r="H122" s="1"/>
    </row>
    <row r="124" spans="1:8" x14ac:dyDescent="0.2">
      <c r="B124" t="s">
        <v>48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3622-0451-1545-97DC-B40586244A92}">
  <dimension ref="A1:W54"/>
  <sheetViews>
    <sheetView tabSelected="1" topLeftCell="A31" zoomScale="278" workbookViewId="0">
      <selection activeCell="B37" sqref="B37"/>
    </sheetView>
  </sheetViews>
  <sheetFormatPr baseColWidth="10" defaultRowHeight="16" x14ac:dyDescent="0.2"/>
  <cols>
    <col min="6" max="6" width="14" bestFit="1" customWidth="1"/>
  </cols>
  <sheetData>
    <row r="1" spans="2:23" x14ac:dyDescent="0.2">
      <c r="D1" t="s">
        <v>21</v>
      </c>
      <c r="E1" s="2">
        <v>0.18</v>
      </c>
    </row>
    <row r="3" spans="2:23" x14ac:dyDescent="0.2">
      <c r="B3" s="3" t="s">
        <v>10</v>
      </c>
      <c r="C3" s="3" t="s">
        <v>11</v>
      </c>
      <c r="D3" s="3" t="s">
        <v>12</v>
      </c>
      <c r="E3" s="5" t="s">
        <v>13</v>
      </c>
      <c r="F3" s="5" t="s">
        <v>22</v>
      </c>
      <c r="G3" s="5" t="s">
        <v>23</v>
      </c>
      <c r="H3" s="3"/>
    </row>
    <row r="4" spans="2:23" x14ac:dyDescent="0.2">
      <c r="B4" s="3">
        <v>4</v>
      </c>
      <c r="C4" s="3">
        <v>100</v>
      </c>
      <c r="D4" s="4">
        <v>0.1</v>
      </c>
      <c r="E4" s="6">
        <f>B4*C4*(1-D4)</f>
        <v>360</v>
      </c>
      <c r="F4" s="3" t="str">
        <f ca="1">_xlfn.FORMULATEXT(E4)</f>
        <v>=B4*C4*(1-D4)</v>
      </c>
      <c r="G4" s="3">
        <f>E4*$E$1</f>
        <v>64.8</v>
      </c>
      <c r="H4" s="3"/>
    </row>
    <row r="5" spans="2:23" x14ac:dyDescent="0.2">
      <c r="B5" s="3">
        <v>5</v>
      </c>
      <c r="C5" s="3">
        <v>300</v>
      </c>
      <c r="D5" s="4">
        <v>0.05</v>
      </c>
      <c r="E5" s="6">
        <f t="shared" ref="E5:E8" si="0">B5*C5*(1-D5)</f>
        <v>1425</v>
      </c>
      <c r="F5" s="3" t="str">
        <f t="shared" ref="F5:F8" ca="1" si="1">_xlfn.FORMULATEXT(E5)</f>
        <v>=B5*C5*(1-D5)</v>
      </c>
      <c r="G5" s="3">
        <f t="shared" ref="G5:G8" si="2">E5*$E$1</f>
        <v>256.5</v>
      </c>
      <c r="H5" s="3"/>
    </row>
    <row r="6" spans="2:23" x14ac:dyDescent="0.2">
      <c r="B6" s="3">
        <v>8</v>
      </c>
      <c r="C6" s="3">
        <v>20</v>
      </c>
      <c r="D6" s="4">
        <v>0</v>
      </c>
      <c r="E6" s="6">
        <f t="shared" si="0"/>
        <v>160</v>
      </c>
      <c r="F6" s="3" t="str">
        <f t="shared" ca="1" si="1"/>
        <v>=B6*C6*(1-D6)</v>
      </c>
      <c r="G6" s="3">
        <f t="shared" si="2"/>
        <v>28.799999999999997</v>
      </c>
      <c r="H6" s="3"/>
    </row>
    <row r="7" spans="2:23" x14ac:dyDescent="0.2">
      <c r="B7" s="3">
        <v>10</v>
      </c>
      <c r="C7" s="3">
        <v>440</v>
      </c>
      <c r="D7" s="4">
        <v>0</v>
      </c>
      <c r="E7" s="6">
        <f t="shared" si="0"/>
        <v>4400</v>
      </c>
      <c r="F7" s="3" t="str">
        <f t="shared" ca="1" si="1"/>
        <v>=B7*C7*(1-D7)</v>
      </c>
      <c r="G7" s="3">
        <f t="shared" si="2"/>
        <v>792</v>
      </c>
      <c r="H7" s="3"/>
    </row>
    <row r="8" spans="2:23" x14ac:dyDescent="0.2">
      <c r="B8" s="3">
        <v>2</v>
      </c>
      <c r="C8" s="3">
        <v>30</v>
      </c>
      <c r="D8" s="4">
        <v>0.2</v>
      </c>
      <c r="E8" s="6">
        <f t="shared" si="0"/>
        <v>48</v>
      </c>
      <c r="F8" s="3" t="str">
        <f t="shared" ca="1" si="1"/>
        <v>=B8*C8*(1-D8)</v>
      </c>
      <c r="G8" s="3">
        <f t="shared" si="2"/>
        <v>8.64</v>
      </c>
      <c r="H8" s="3"/>
    </row>
    <row r="10" spans="2:23" x14ac:dyDescent="0.2">
      <c r="G10" s="2"/>
      <c r="H10" s="2"/>
      <c r="I10" s="2"/>
    </row>
    <row r="11" spans="2:23" x14ac:dyDescent="0.2">
      <c r="B11" s="1" t="str">
        <f ca="1">_xlfn.FORMULATEXT(B12)</f>
        <v>=B3:G8</v>
      </c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2:23" x14ac:dyDescent="0.2">
      <c r="B12" t="str" cm="1">
        <f t="array" aca="1" ref="B12:G17" ca="1">B3:G8</f>
        <v>Qts</v>
      </c>
      <c r="C12" t="str">
        <f ca="1"/>
        <v>Price/Unit</v>
      </c>
      <c r="D12" t="str">
        <f ca="1"/>
        <v>Disc</v>
      </c>
      <c r="E12" t="str">
        <f ca="1"/>
        <v>Total Price</v>
      </c>
      <c r="F12" t="str">
        <f ca="1"/>
        <v>FORMULA</v>
      </c>
      <c r="G12" s="2" t="str">
        <f ca="1"/>
        <v>GST</v>
      </c>
    </row>
    <row r="13" spans="2:23" x14ac:dyDescent="0.2">
      <c r="B13">
        <f ca="1"/>
        <v>4</v>
      </c>
      <c r="C13">
        <f ca="1"/>
        <v>100</v>
      </c>
      <c r="D13">
        <f ca="1"/>
        <v>0.1</v>
      </c>
      <c r="E13">
        <f ca="1"/>
        <v>360</v>
      </c>
      <c r="F13" t="str">
        <f ca="1"/>
        <v>=B4*C4*(1-D4)</v>
      </c>
      <c r="G13">
        <f ca="1"/>
        <v>64.8</v>
      </c>
    </row>
    <row r="14" spans="2:23" x14ac:dyDescent="0.2">
      <c r="B14">
        <f ca="1"/>
        <v>5</v>
      </c>
      <c r="C14">
        <f ca="1"/>
        <v>300</v>
      </c>
      <c r="D14">
        <f ca="1"/>
        <v>0.05</v>
      </c>
      <c r="E14">
        <f ca="1"/>
        <v>1425</v>
      </c>
      <c r="F14" s="2" t="str">
        <f ca="1"/>
        <v>=B5*C5*(1-D5)</v>
      </c>
      <c r="G14">
        <f ca="1"/>
        <v>256.5</v>
      </c>
    </row>
    <row r="15" spans="2:23" x14ac:dyDescent="0.2">
      <c r="B15">
        <f ca="1"/>
        <v>8</v>
      </c>
      <c r="C15">
        <f ca="1"/>
        <v>20</v>
      </c>
      <c r="D15">
        <f ca="1"/>
        <v>0</v>
      </c>
      <c r="E15">
        <f ca="1"/>
        <v>160</v>
      </c>
      <c r="F15" t="str">
        <f ca="1"/>
        <v>=B6*C6*(1-D6)</v>
      </c>
      <c r="G15">
        <f ca="1"/>
        <v>28.799999999999997</v>
      </c>
    </row>
    <row r="16" spans="2:23" x14ac:dyDescent="0.2">
      <c r="B16">
        <f ca="1"/>
        <v>10</v>
      </c>
      <c r="C16">
        <f ca="1"/>
        <v>440</v>
      </c>
      <c r="D16">
        <f ca="1"/>
        <v>0</v>
      </c>
      <c r="E16">
        <f ca="1"/>
        <v>4400</v>
      </c>
      <c r="F16" t="str">
        <f ca="1"/>
        <v>=B7*C7*(1-D7)</v>
      </c>
      <c r="G16">
        <f ca="1"/>
        <v>792</v>
      </c>
    </row>
    <row r="17" spans="1:8" x14ac:dyDescent="0.2">
      <c r="B17">
        <f ca="1"/>
        <v>2</v>
      </c>
      <c r="C17">
        <f ca="1"/>
        <v>30</v>
      </c>
      <c r="D17">
        <f ca="1"/>
        <v>0.2</v>
      </c>
      <c r="E17">
        <f ca="1"/>
        <v>48</v>
      </c>
      <c r="F17" t="str">
        <f ca="1"/>
        <v>=B8*C8*(1-D8)</v>
      </c>
      <c r="G17">
        <f ca="1"/>
        <v>8.64</v>
      </c>
    </row>
    <row r="21" spans="1:8" x14ac:dyDescent="0.2">
      <c r="A21" s="1"/>
      <c r="B21" s="1"/>
      <c r="C21" s="11"/>
      <c r="D21" s="11"/>
      <c r="E21" s="11"/>
      <c r="F21" s="11"/>
      <c r="G21" s="11"/>
      <c r="H21" s="8"/>
    </row>
    <row r="22" spans="1:8" x14ac:dyDescent="0.2">
      <c r="E22" s="2"/>
    </row>
    <row r="23" spans="1:8" x14ac:dyDescent="0.2">
      <c r="E23" s="2"/>
    </row>
    <row r="24" spans="1:8" x14ac:dyDescent="0.2">
      <c r="B24" s="14" t="s">
        <v>10</v>
      </c>
      <c r="C24" s="15" t="s">
        <v>11</v>
      </c>
      <c r="D24" s="16" t="s">
        <v>12</v>
      </c>
      <c r="E24" s="2"/>
    </row>
    <row r="25" spans="1:8" x14ac:dyDescent="0.2">
      <c r="B25" s="12">
        <v>10</v>
      </c>
      <c r="C25" s="3">
        <v>440</v>
      </c>
      <c r="D25" s="13">
        <v>0</v>
      </c>
      <c r="E25" s="2"/>
    </row>
    <row r="26" spans="1:8" x14ac:dyDescent="0.2">
      <c r="B26" s="12">
        <v>10</v>
      </c>
      <c r="C26" s="3">
        <v>440</v>
      </c>
      <c r="D26" s="13">
        <v>0</v>
      </c>
      <c r="E26" s="2"/>
    </row>
    <row r="27" spans="1:8" x14ac:dyDescent="0.2">
      <c r="B27" s="12">
        <v>10</v>
      </c>
      <c r="C27" s="3">
        <v>440</v>
      </c>
      <c r="D27" s="13">
        <v>0</v>
      </c>
    </row>
    <row r="28" spans="1:8" x14ac:dyDescent="0.2">
      <c r="B28" s="12">
        <v>10</v>
      </c>
      <c r="C28" s="3">
        <v>440</v>
      </c>
      <c r="D28" s="13">
        <v>0</v>
      </c>
    </row>
    <row r="29" spans="1:8" x14ac:dyDescent="0.2">
      <c r="B29" s="12">
        <v>10</v>
      </c>
      <c r="C29" s="3">
        <v>440</v>
      </c>
      <c r="D29" s="13">
        <v>0</v>
      </c>
    </row>
    <row r="30" spans="1:8" x14ac:dyDescent="0.2">
      <c r="B30" s="12">
        <v>10</v>
      </c>
      <c r="C30" s="3">
        <v>440</v>
      </c>
      <c r="D30" s="13">
        <v>0</v>
      </c>
    </row>
    <row r="31" spans="1:8" x14ac:dyDescent="0.2">
      <c r="B31" s="12">
        <v>5</v>
      </c>
      <c r="C31" s="3">
        <v>300</v>
      </c>
      <c r="D31" s="13">
        <v>0.05</v>
      </c>
    </row>
    <row r="32" spans="1:8" x14ac:dyDescent="0.2">
      <c r="B32" s="12">
        <v>5</v>
      </c>
      <c r="C32" s="3">
        <v>300</v>
      </c>
      <c r="D32" s="13">
        <v>0.05</v>
      </c>
    </row>
    <row r="33" spans="2:4" x14ac:dyDescent="0.2">
      <c r="B33" s="12">
        <v>5</v>
      </c>
      <c r="C33" s="3">
        <v>300</v>
      </c>
      <c r="D33" s="13">
        <v>0.05</v>
      </c>
    </row>
    <row r="34" spans="2:4" x14ac:dyDescent="0.2">
      <c r="B34" s="12">
        <v>5</v>
      </c>
      <c r="C34" s="3">
        <v>300</v>
      </c>
      <c r="D34" s="13">
        <v>0.05</v>
      </c>
    </row>
    <row r="35" spans="2:4" x14ac:dyDescent="0.2">
      <c r="B35" s="12">
        <v>5</v>
      </c>
      <c r="C35" s="3">
        <v>300</v>
      </c>
      <c r="D35" s="13">
        <v>0.05</v>
      </c>
    </row>
    <row r="36" spans="2:4" x14ac:dyDescent="0.2">
      <c r="B36" s="12">
        <v>5</v>
      </c>
      <c r="C36" s="3">
        <v>300</v>
      </c>
      <c r="D36" s="13">
        <v>0.05</v>
      </c>
    </row>
    <row r="37" spans="2:4" x14ac:dyDescent="0.2">
      <c r="B37" s="12">
        <v>4</v>
      </c>
      <c r="C37" s="3">
        <v>100</v>
      </c>
      <c r="D37" s="13">
        <v>0.1</v>
      </c>
    </row>
    <row r="38" spans="2:4" x14ac:dyDescent="0.2">
      <c r="B38" s="12">
        <v>4</v>
      </c>
      <c r="C38" s="3">
        <v>100</v>
      </c>
      <c r="D38" s="13">
        <v>0.1</v>
      </c>
    </row>
    <row r="39" spans="2:4" x14ac:dyDescent="0.2">
      <c r="B39" s="12">
        <v>4</v>
      </c>
      <c r="C39" s="3">
        <v>100</v>
      </c>
      <c r="D39" s="13">
        <v>0.1</v>
      </c>
    </row>
    <row r="40" spans="2:4" x14ac:dyDescent="0.2">
      <c r="B40" s="12">
        <v>4</v>
      </c>
      <c r="C40" s="3">
        <v>100</v>
      </c>
      <c r="D40" s="13">
        <v>0.1</v>
      </c>
    </row>
    <row r="41" spans="2:4" x14ac:dyDescent="0.2">
      <c r="B41" s="12">
        <v>4</v>
      </c>
      <c r="C41" s="3">
        <v>100</v>
      </c>
      <c r="D41" s="13">
        <v>0.1</v>
      </c>
    </row>
    <row r="42" spans="2:4" x14ac:dyDescent="0.2">
      <c r="B42" s="12">
        <v>4</v>
      </c>
      <c r="C42" s="3">
        <v>100</v>
      </c>
      <c r="D42" s="13">
        <v>0.1</v>
      </c>
    </row>
    <row r="43" spans="2:4" x14ac:dyDescent="0.2">
      <c r="B43" s="12">
        <v>2</v>
      </c>
      <c r="C43" s="3">
        <v>30</v>
      </c>
      <c r="D43" s="13">
        <v>0.2</v>
      </c>
    </row>
    <row r="44" spans="2:4" x14ac:dyDescent="0.2">
      <c r="B44" s="12">
        <v>2</v>
      </c>
      <c r="C44" s="3">
        <v>30</v>
      </c>
      <c r="D44" s="13">
        <v>0.2</v>
      </c>
    </row>
    <row r="45" spans="2:4" x14ac:dyDescent="0.2">
      <c r="B45" s="12">
        <v>2</v>
      </c>
      <c r="C45" s="3">
        <v>30</v>
      </c>
      <c r="D45" s="13">
        <v>0.2</v>
      </c>
    </row>
    <row r="46" spans="2:4" x14ac:dyDescent="0.2">
      <c r="B46" s="12">
        <v>2</v>
      </c>
      <c r="C46" s="3">
        <v>30</v>
      </c>
      <c r="D46" s="13">
        <v>0.2</v>
      </c>
    </row>
    <row r="47" spans="2:4" x14ac:dyDescent="0.2">
      <c r="B47" s="12">
        <v>2</v>
      </c>
      <c r="C47" s="3">
        <v>30</v>
      </c>
      <c r="D47" s="13">
        <v>0.2</v>
      </c>
    </row>
    <row r="48" spans="2:4" x14ac:dyDescent="0.2">
      <c r="B48" s="12">
        <v>2</v>
      </c>
      <c r="C48" s="3">
        <v>30</v>
      </c>
      <c r="D48" s="13">
        <v>0.2</v>
      </c>
    </row>
    <row r="49" spans="2:4" x14ac:dyDescent="0.2">
      <c r="B49" s="12">
        <v>8</v>
      </c>
      <c r="C49" s="3">
        <v>20</v>
      </c>
      <c r="D49" s="13">
        <v>0</v>
      </c>
    </row>
    <row r="50" spans="2:4" x14ac:dyDescent="0.2">
      <c r="B50" s="12">
        <v>8</v>
      </c>
      <c r="C50" s="3">
        <v>20</v>
      </c>
      <c r="D50" s="13">
        <v>0</v>
      </c>
    </row>
    <row r="51" spans="2:4" x14ac:dyDescent="0.2">
      <c r="B51" s="12">
        <v>8</v>
      </c>
      <c r="C51" s="3">
        <v>20</v>
      </c>
      <c r="D51" s="13">
        <v>0</v>
      </c>
    </row>
    <row r="52" spans="2:4" x14ac:dyDescent="0.2">
      <c r="B52" s="12">
        <v>8</v>
      </c>
      <c r="C52" s="3">
        <v>20</v>
      </c>
      <c r="D52" s="13">
        <v>0</v>
      </c>
    </row>
    <row r="53" spans="2:4" x14ac:dyDescent="0.2">
      <c r="B53" s="12">
        <v>8</v>
      </c>
      <c r="C53" s="3">
        <v>20</v>
      </c>
      <c r="D53" s="13">
        <v>0</v>
      </c>
    </row>
    <row r="54" spans="2:4" x14ac:dyDescent="0.2">
      <c r="B54" s="17">
        <v>8</v>
      </c>
      <c r="C54" s="18">
        <v>20</v>
      </c>
      <c r="D54" s="1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2026-06-21T15:35:09Z</dcterms:created>
  <dcterms:modified xsi:type="dcterms:W3CDTF">2026-06-21T17:24:24Z</dcterms:modified>
</cp:coreProperties>
</file>